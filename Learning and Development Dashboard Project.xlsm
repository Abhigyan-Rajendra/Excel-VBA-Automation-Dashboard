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D:\My Files\VBA Dashboard Project Files\"/>
    </mc:Choice>
  </mc:AlternateContent>
  <xr:revisionPtr revIDLastSave="0" documentId="13_ncr:1_{FE4AAD65-F9BD-4174-8EBA-F77271F50261}" xr6:coauthVersionLast="47" xr6:coauthVersionMax="47" xr10:uidLastSave="{00000000-0000-0000-0000-000000000000}"/>
  <bookViews>
    <workbookView xWindow="-120" yWindow="-120" windowWidth="29040" windowHeight="15720" activeTab="5" xr2:uid="{6A43CD2D-283E-4584-9406-613422A9C7E0}"/>
  </bookViews>
  <sheets>
    <sheet name="Icons" sheetId="5" r:id="rId1"/>
    <sheet name="Pivots" sheetId="7" r:id="rId2"/>
    <sheet name="Master Data" sheetId="4" r:id="rId3"/>
    <sheet name="Trainer Records" sheetId="2" r:id="rId4"/>
    <sheet name="Trainee Records" sheetId="3" r:id="rId5"/>
    <sheet name="Dashboard" sheetId="6" r:id="rId6"/>
  </sheets>
  <definedNames>
    <definedName name="_xlchart.v1.0" hidden="1">'Master Data'!$R$2:$R$10</definedName>
    <definedName name="_xlchart.v1.1" hidden="1">'Master Data'!$S$1</definedName>
    <definedName name="_xlchart.v1.2" hidden="1">'Master Data'!$S$2:$S$10</definedName>
    <definedName name="_xlcn.WorksheetConnection_LearningandDevelopmentDashboardProject.xlsmtbl_EmpDatabase1" hidden="1">tbl_EmpDatabase[]</definedName>
    <definedName name="_xlcn.WorksheetConnection_LearningandDevelopmentDashboardProject.xlsmtbl_TraineeRecords1" hidden="1">tbl_TraineeRecords[]</definedName>
    <definedName name="_xlcn.WorksheetConnection_LearningandDevelopmentDashboardProject.xlsmtbl_TrainingRecords1" hidden="1">tbl_TrainingRecords[]</definedName>
    <definedName name="Slicer_Date__Month">#N/A</definedName>
    <definedName name="Slicer_Department">#N/A</definedName>
    <definedName name="Slicer_Trainer">#N/A</definedName>
    <definedName name="Slicer_Training_Topic">#N/A</definedName>
  </definedNames>
  <calcPr calcId="191029"/>
  <pivotCaches>
    <pivotCache cacheId="153" r:id="rId7"/>
    <pivotCache cacheId="156" r:id="rId8"/>
    <pivotCache cacheId="180" r:id="rId9"/>
    <pivotCache cacheId="183" r:id="rId10"/>
    <pivotCache cacheId="186" r:id="rId11"/>
    <pivotCache cacheId="189" r:id="rId12"/>
    <pivotCache cacheId="192" r:id="rId13"/>
    <pivotCache cacheId="195" r:id="rId14"/>
    <pivotCache cacheId="198" r:id="rId15"/>
  </pivotCaches>
  <extLst>
    <ext xmlns:x14="http://schemas.microsoft.com/office/spreadsheetml/2009/9/main" uri="{876F7934-8845-4945-9796-88D515C7AA90}">
      <x14:pivotCaches>
        <pivotCache cacheId="9" r:id="rId16"/>
      </x14:pivotCaches>
    </ex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TrainingRecords" name="tbl_TrainingRecords" connection="WorksheetConnection_Learning and Development Dashboard Project.xlsm!tbl_TrainingRecords"/>
          <x15:modelTable id="tbl_TraineeRecords" name="tbl_TraineeRecords" connection="WorksheetConnection_Learning and Development Dashboard Project.xlsm!tbl_TraineeRecords"/>
          <x15:modelTable id="tbl_EmpDatabase" name="tbl_EmpDatabase" connection="WorksheetConnection_Learning and Development Dashboard Project.xlsm!tbl_EmpDatabase"/>
        </x15:modelTables>
        <x15:modelRelationships>
          <x15:modelRelationship fromTable="tbl_TraineeRecords" fromColumn="Employee ID" toTable="tbl_EmpDatabase" toColumn="Employee ID"/>
          <x15:modelRelationship fromTable="tbl_TraineeRecords" fromColumn="# Trainer" toTable="tbl_TrainingRecords" toColumn="# Trainer"/>
        </x15:modelRelationships>
        <x15:extLst>
          <ext xmlns:x16="http://schemas.microsoft.com/office/spreadsheetml/2014/11/main" uri="{9835A34E-60A6-4A7C-AAB8-D5F71C897F49}">
            <x16:modelTimeGroupings>
              <x16:modelTimeGrouping tableName="tbl_TraineeRecords" columnName="Date" columnId="Date">
                <x16:calculatedTimeColumn columnName="Date (Month Index)" columnId="Date (Month Index)" contentType="monthsindex" isSelected="1"/>
                <x16:calculatedTimeColumn columnName="Date (Month)" columnId="Date (Month)" contentType="months" isSelected="1"/>
              </x16:modelTimeGrouping>
              <x16:modelTimeGrouping tableName="tbl_TrainingRecords"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 i="7" l="1" a="1"/>
  <c r="AE3" i="7" s="1"/>
  <c r="C9" i="6"/>
  <c r="C7" i="6"/>
  <c r="C5" i="6"/>
  <c r="U2" i="4"/>
  <c r="U3" i="4"/>
  <c r="U4" i="4"/>
  <c r="U5" i="4"/>
  <c r="U6" i="4"/>
  <c r="U7" i="4"/>
  <c r="U8" i="4"/>
  <c r="U9" i="4"/>
  <c r="U10" i="4"/>
  <c r="T2" i="4"/>
  <c r="T3" i="4"/>
  <c r="T4" i="4"/>
  <c r="T5" i="4"/>
  <c r="T6" i="4"/>
  <c r="T7" i="4"/>
  <c r="T8" i="4"/>
  <c r="T9" i="4"/>
  <c r="T10" i="4"/>
  <c r="AC1" i="4"/>
  <c r="AA8" i="4"/>
  <c r="V8" i="4"/>
  <c r="N9" i="4"/>
  <c r="I8" i="4"/>
  <c r="O5" i="4"/>
  <c r="N6" i="4"/>
  <c r="J3" i="4"/>
  <c r="V3" i="4"/>
  <c r="AA4" i="4"/>
  <c r="AA5" i="4"/>
  <c r="V4" i="4"/>
  <c r="AA7" i="4"/>
  <c r="V7" i="4"/>
  <c r="AA12" i="4"/>
  <c r="J6" i="4"/>
  <c r="I3" i="4"/>
  <c r="N11" i="4"/>
  <c r="V9" i="4"/>
  <c r="AA13" i="4"/>
  <c r="O6" i="4"/>
  <c r="I7" i="4"/>
  <c r="I4" i="4"/>
  <c r="I2" i="4"/>
  <c r="O2" i="4"/>
  <c r="J4" i="4"/>
  <c r="N10" i="4"/>
  <c r="O11" i="4"/>
  <c r="O8" i="4"/>
  <c r="N5" i="4"/>
  <c r="O3" i="4"/>
  <c r="AA2" i="4"/>
  <c r="N2" i="4"/>
  <c r="I5" i="4"/>
  <c r="AA9" i="4"/>
  <c r="O7" i="4"/>
  <c r="J2" i="4"/>
  <c r="AA11" i="4"/>
  <c r="V5" i="4"/>
  <c r="V6" i="4"/>
  <c r="N3" i="4"/>
  <c r="N8" i="4"/>
  <c r="I9" i="4"/>
  <c r="V2" i="4"/>
  <c r="O9" i="4"/>
  <c r="O4" i="4"/>
  <c r="J5" i="4"/>
  <c r="AA3" i="4"/>
  <c r="O10" i="4"/>
  <c r="N7" i="4"/>
  <c r="N4" i="4"/>
  <c r="I6" i="4"/>
  <c r="J7" i="4"/>
  <c r="J9" i="4"/>
  <c r="J8" i="4"/>
  <c r="V10" i="4"/>
  <c r="AA10" i="4"/>
  <c r="AA6" i="4"/>
  <c r="H3" i="4" l="1"/>
  <c r="X5" i="4"/>
  <c r="W5" i="4"/>
  <c r="S5" i="4" s="1"/>
  <c r="M2" i="4"/>
  <c r="W9" i="4"/>
  <c r="S9" i="4" s="1"/>
  <c r="X9" i="4"/>
  <c r="M11" i="4"/>
  <c r="M8" i="4"/>
  <c r="H5" i="4"/>
  <c r="W8" i="4"/>
  <c r="S8" i="4" s="1"/>
  <c r="X8" i="4"/>
  <c r="H9" i="4"/>
  <c r="W2" i="4"/>
  <c r="S2" i="4" s="1"/>
  <c r="X2" i="4"/>
  <c r="H8" i="4"/>
  <c r="M9" i="4"/>
  <c r="X6" i="4"/>
  <c r="W6" i="4"/>
  <c r="S6" i="4" s="1"/>
  <c r="M6" i="4"/>
  <c r="H7" i="4"/>
  <c r="W7" i="4"/>
  <c r="S7" i="4" s="1"/>
  <c r="X7" i="4"/>
  <c r="X4" i="4"/>
  <c r="W4" i="4"/>
  <c r="S4" i="4" s="1"/>
  <c r="H6" i="4"/>
  <c r="M7" i="4"/>
  <c r="W3" i="4"/>
  <c r="S3" i="4" s="1"/>
  <c r="X3" i="4"/>
  <c r="M4" i="4"/>
  <c r="M3" i="4"/>
  <c r="M10" i="4"/>
  <c r="H2" i="4"/>
  <c r="H4" i="4"/>
  <c r="M5" i="4"/>
  <c r="W10" i="4"/>
  <c r="S10" i="4" s="1"/>
  <c r="X10" i="4"/>
  <c r="AH4" i="7"/>
  <c r="AH8" i="7"/>
  <c r="AH7" i="7"/>
  <c r="AH5" i="7"/>
  <c r="AH12" i="7"/>
  <c r="AH9" i="7"/>
  <c r="AH6" i="7"/>
  <c r="AH11" i="7"/>
  <c r="AH10" i="7"/>
  <c r="AH3" i="7"/>
  <c r="AI7" i="7"/>
  <c r="AI12" i="7"/>
  <c r="AI11" i="7"/>
  <c r="AI5" i="7"/>
  <c r="AI10" i="7"/>
  <c r="AI8" i="7"/>
  <c r="AI6" i="7"/>
  <c r="AI9" i="7"/>
  <c r="AI4" i="7"/>
  <c r="AI3" i="7"/>
  <c r="AG4" i="7"/>
  <c r="AG12" i="7"/>
  <c r="AG11" i="7"/>
  <c r="AG10" i="7"/>
  <c r="AG9" i="7"/>
  <c r="AG8" i="7"/>
  <c r="AG7" i="7"/>
  <c r="AG6" i="7"/>
  <c r="AG5" i="7"/>
  <c r="AG3"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D17489-73CC-4216-8561-389F4AE741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7C85188-A9F6-4917-A9A5-D04779B59442}" name="WorksheetConnection_Learning and Development Dashboard Project.xlsm!tbl_EmpDatabase" type="102" refreshedVersion="8" minRefreshableVersion="5">
    <extLst>
      <ext xmlns:x15="http://schemas.microsoft.com/office/spreadsheetml/2010/11/main" uri="{DE250136-89BD-433C-8126-D09CA5730AF9}">
        <x15:connection id="tbl_EmpDatabase">
          <x15:rangePr sourceName="_xlcn.WorksheetConnection_LearningandDevelopmentDashboardProject.xlsmtbl_EmpDatabase1"/>
        </x15:connection>
      </ext>
    </extLst>
  </connection>
  <connection id="3" xr16:uid="{61E8139D-2748-465B-AF01-E7A51800E1E0}" name="WorksheetConnection_Learning and Development Dashboard Project.xlsm!tbl_TraineeRecords" type="102" refreshedVersion="8" minRefreshableVersion="5">
    <extLst>
      <ext xmlns:x15="http://schemas.microsoft.com/office/spreadsheetml/2010/11/main" uri="{DE250136-89BD-433C-8126-D09CA5730AF9}">
        <x15:connection id="tbl_TraineeRecords">
          <x15:rangePr sourceName="_xlcn.WorksheetConnection_LearningandDevelopmentDashboardProject.xlsmtbl_TraineeRecords1"/>
        </x15:connection>
      </ext>
    </extLst>
  </connection>
  <connection id="4" xr16:uid="{73B542FF-31E7-43A1-A6CD-E3EFF9527A84}" name="WorksheetConnection_Learning and Development Dashboard Project.xlsm!tbl_TrainingRecords" type="102" refreshedVersion="8" minRefreshableVersion="5">
    <extLst>
      <ext xmlns:x15="http://schemas.microsoft.com/office/spreadsheetml/2010/11/main" uri="{DE250136-89BD-433C-8126-D09CA5730AF9}">
        <x15:connection id="tbl_TrainingRecords">
          <x15:rangePr sourceName="_xlcn.WorksheetConnection_LearningandDevelopmentDashboardProject.xlsmtbl_TrainingRecord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<sst xmlns="http://schemas.openxmlformats.org/spreadsheetml/2006/main" count="2841" uniqueCount="262">
  <si>
    <t># Trainer</t>
  </si>
  <si>
    <t>Date</t>
  </si>
  <si>
    <t>Training Topic</t>
  </si>
  <si>
    <t>Trainer</t>
  </si>
  <si>
    <t>Training Hrs.</t>
  </si>
  <si>
    <t xml:space="preserve">Lean Manufacturing </t>
  </si>
  <si>
    <t>Trainer 04</t>
  </si>
  <si>
    <t>SCM Principles</t>
  </si>
  <si>
    <t>Trainer 07</t>
  </si>
  <si>
    <t>Design Thinking</t>
  </si>
  <si>
    <t>Trainer 02</t>
  </si>
  <si>
    <t>Team Building</t>
  </si>
  <si>
    <t>Trainer 01</t>
  </si>
  <si>
    <t>Excel Techniques</t>
  </si>
  <si>
    <t>Trainer 03</t>
  </si>
  <si>
    <t>Lean Manufacturing</t>
  </si>
  <si>
    <t>Trainer 08</t>
  </si>
  <si>
    <t>Sales Strategies</t>
  </si>
  <si>
    <t>Trainer 06</t>
  </si>
  <si>
    <t>Leadership</t>
  </si>
  <si>
    <t>Project Management</t>
  </si>
  <si>
    <t>Trainer 05</t>
  </si>
  <si>
    <t>Quality Management</t>
  </si>
  <si>
    <t>Six Sigma</t>
  </si>
  <si>
    <t>#</t>
  </si>
  <si>
    <t>Employee ID</t>
  </si>
  <si>
    <t>Employee Name</t>
  </si>
  <si>
    <t>Department</t>
  </si>
  <si>
    <t>A00001</t>
  </si>
  <si>
    <t>Emplyee001</t>
  </si>
  <si>
    <t>Production</t>
  </si>
  <si>
    <t>A00004</t>
  </si>
  <si>
    <t>Emplyee004</t>
  </si>
  <si>
    <t>Quality</t>
  </si>
  <si>
    <t>A00010</t>
  </si>
  <si>
    <t>Emplyee010</t>
  </si>
  <si>
    <t>SCM</t>
  </si>
  <si>
    <t>A00020</t>
  </si>
  <si>
    <t>Emplyee020</t>
  </si>
  <si>
    <t>A00029</t>
  </si>
  <si>
    <t>Emplyee029</t>
  </si>
  <si>
    <t>A00033</t>
  </si>
  <si>
    <t>Emplyee033</t>
  </si>
  <si>
    <t>Production Planning</t>
  </si>
  <si>
    <t>A00037</t>
  </si>
  <si>
    <t>Emplyee037</t>
  </si>
  <si>
    <t>A00040</t>
  </si>
  <si>
    <t>Emplyee040</t>
  </si>
  <si>
    <t>A00042</t>
  </si>
  <si>
    <t>Emplyee042</t>
  </si>
  <si>
    <t>A00043</t>
  </si>
  <si>
    <t>Emplyee043</t>
  </si>
  <si>
    <t>A00049</t>
  </si>
  <si>
    <t>Emplyee049</t>
  </si>
  <si>
    <t>A00051</t>
  </si>
  <si>
    <t>Emplyee051</t>
  </si>
  <si>
    <t>A00057</t>
  </si>
  <si>
    <t>Emplyee057</t>
  </si>
  <si>
    <t>A00065</t>
  </si>
  <si>
    <t>Emplyee065</t>
  </si>
  <si>
    <t>A00071</t>
  </si>
  <si>
    <t>Emplyee071</t>
  </si>
  <si>
    <t>A00090</t>
  </si>
  <si>
    <t>Emplyee090</t>
  </si>
  <si>
    <t>A00007</t>
  </si>
  <si>
    <t>Emplyee007</t>
  </si>
  <si>
    <t>A00013</t>
  </si>
  <si>
    <t>Emplyee013</t>
  </si>
  <si>
    <t>A00023</t>
  </si>
  <si>
    <t>Emplyee023</t>
  </si>
  <si>
    <t>A00039</t>
  </si>
  <si>
    <t>Emplyee039</t>
  </si>
  <si>
    <t>A00053</t>
  </si>
  <si>
    <t>Emplyee053</t>
  </si>
  <si>
    <t>A00070</t>
  </si>
  <si>
    <t>Emplyee070</t>
  </si>
  <si>
    <t>A00078</t>
  </si>
  <si>
    <t>Emplyee078</t>
  </si>
  <si>
    <t>A00014</t>
  </si>
  <si>
    <t>Emplyee014</t>
  </si>
  <si>
    <t>Design Engineering</t>
  </si>
  <si>
    <t>A00047</t>
  </si>
  <si>
    <t>Emplyee047</t>
  </si>
  <si>
    <t>A00052</t>
  </si>
  <si>
    <t>Emplyee052</t>
  </si>
  <si>
    <t>A00062</t>
  </si>
  <si>
    <t>Emplyee062</t>
  </si>
  <si>
    <t>A00064</t>
  </si>
  <si>
    <t>Emplyee064</t>
  </si>
  <si>
    <t>A00072</t>
  </si>
  <si>
    <t>Emplyee072</t>
  </si>
  <si>
    <t>A00077</t>
  </si>
  <si>
    <t>Emplyee077</t>
  </si>
  <si>
    <t>A00085</t>
  </si>
  <si>
    <t>Emplyee085</t>
  </si>
  <si>
    <t>A00002</t>
  </si>
  <si>
    <t>Emplyee002</t>
  </si>
  <si>
    <t>HR</t>
  </si>
  <si>
    <t>A00008</t>
  </si>
  <si>
    <t>Emplyee008</t>
  </si>
  <si>
    <t>A00017</t>
  </si>
  <si>
    <t>Emplyee017</t>
  </si>
  <si>
    <t>Sales &amp; Marketing</t>
  </si>
  <si>
    <t>A00024</t>
  </si>
  <si>
    <t>Emplyee024</t>
  </si>
  <si>
    <t>A00034</t>
  </si>
  <si>
    <t>Emplyee034</t>
  </si>
  <si>
    <t>A00050</t>
  </si>
  <si>
    <t>Emplyee050</t>
  </si>
  <si>
    <t>A00055</t>
  </si>
  <si>
    <t>Emplyee055</t>
  </si>
  <si>
    <t>A00058</t>
  </si>
  <si>
    <t>Emplyee058</t>
  </si>
  <si>
    <t>A00059</t>
  </si>
  <si>
    <t>Emplyee059</t>
  </si>
  <si>
    <t>A00089</t>
  </si>
  <si>
    <t>Emplyee089</t>
  </si>
  <si>
    <t>A00005</t>
  </si>
  <si>
    <t>Emplyee005</t>
  </si>
  <si>
    <t>IT</t>
  </si>
  <si>
    <t>A00006</t>
  </si>
  <si>
    <t>Emplyee006</t>
  </si>
  <si>
    <t>Finance</t>
  </si>
  <si>
    <t>A00026</t>
  </si>
  <si>
    <t>Emplyee026</t>
  </si>
  <si>
    <t>A00027</t>
  </si>
  <si>
    <t>Emplyee027</t>
  </si>
  <si>
    <t>A00036</t>
  </si>
  <si>
    <t>Emplyee036</t>
  </si>
  <si>
    <t>A00045</t>
  </si>
  <si>
    <t>Emplyee045</t>
  </si>
  <si>
    <t>A00054</t>
  </si>
  <si>
    <t>Emplyee054</t>
  </si>
  <si>
    <t>A00066</t>
  </si>
  <si>
    <t>Emplyee066</t>
  </si>
  <si>
    <t>A00076</t>
  </si>
  <si>
    <t>Emplyee076</t>
  </si>
  <si>
    <t>A00081</t>
  </si>
  <si>
    <t>Emplyee081</t>
  </si>
  <si>
    <t>A00086</t>
  </si>
  <si>
    <t>Emplyee086</t>
  </si>
  <si>
    <t>A00096</t>
  </si>
  <si>
    <t>Emplyee096</t>
  </si>
  <si>
    <t>A00018</t>
  </si>
  <si>
    <t>Emplyee018</t>
  </si>
  <si>
    <t>A00030</t>
  </si>
  <si>
    <t>Emplyee030</t>
  </si>
  <si>
    <t>A00032</t>
  </si>
  <si>
    <t>Emplyee032</t>
  </si>
  <si>
    <t>A00044</t>
  </si>
  <si>
    <t>Emplyee044</t>
  </si>
  <si>
    <t>A00068</t>
  </si>
  <si>
    <t>Emplyee068</t>
  </si>
  <si>
    <t>A00083</t>
  </si>
  <si>
    <t>Emplyee083</t>
  </si>
  <si>
    <t>A00084</t>
  </si>
  <si>
    <t>Emplyee084</t>
  </si>
  <si>
    <t>A00019</t>
  </si>
  <si>
    <t>Emplyee019</t>
  </si>
  <si>
    <t>A00056</t>
  </si>
  <si>
    <t>Emplyee056</t>
  </si>
  <si>
    <t>A00028</t>
  </si>
  <si>
    <t>Emplyee028</t>
  </si>
  <si>
    <t>A00048</t>
  </si>
  <si>
    <t>Emplyee048</t>
  </si>
  <si>
    <t>A00063</t>
  </si>
  <si>
    <t>Emplyee063</t>
  </si>
  <si>
    <t>A00082</t>
  </si>
  <si>
    <t>Emplyee082</t>
  </si>
  <si>
    <t>A00093</t>
  </si>
  <si>
    <t>Emplyee093</t>
  </si>
  <si>
    <t>A00016</t>
  </si>
  <si>
    <t>Emplyee016</t>
  </si>
  <si>
    <t>A00031</t>
  </si>
  <si>
    <t>Emplyee031</t>
  </si>
  <si>
    <t>A00069</t>
  </si>
  <si>
    <t>Emplyee069</t>
  </si>
  <si>
    <t>A00092</t>
  </si>
  <si>
    <t>Emplyee092</t>
  </si>
  <si>
    <t>A00095</t>
  </si>
  <si>
    <t>Emplyee095</t>
  </si>
  <si>
    <t>A00021</t>
  </si>
  <si>
    <t>Emplyee021</t>
  </si>
  <si>
    <t>A00022</t>
  </si>
  <si>
    <t>Emplyee022</t>
  </si>
  <si>
    <t>A00067</t>
  </si>
  <si>
    <t>Emplyee067</t>
  </si>
  <si>
    <t>A00009</t>
  </si>
  <si>
    <t>Emplyee009</t>
  </si>
  <si>
    <t>A00041</t>
  </si>
  <si>
    <t>Emplyee041</t>
  </si>
  <si>
    <t>A00061</t>
  </si>
  <si>
    <t>Emplyee061</t>
  </si>
  <si>
    <t>A00074</t>
  </si>
  <si>
    <t>Emplyee074</t>
  </si>
  <si>
    <t>A00080</t>
  </si>
  <si>
    <t>Emplyee080</t>
  </si>
  <si>
    <t>A00091</t>
  </si>
  <si>
    <t>Emplyee091</t>
  </si>
  <si>
    <t>A00046</t>
  </si>
  <si>
    <t>Emplyee046</t>
  </si>
  <si>
    <t>A00094</t>
  </si>
  <si>
    <t>Emplyee094</t>
  </si>
  <si>
    <t>A00088</t>
  </si>
  <si>
    <t>Emplyee088</t>
  </si>
  <si>
    <t>A00073</t>
  </si>
  <si>
    <t>Emplyee073</t>
  </si>
  <si>
    <t>A00038</t>
  </si>
  <si>
    <t>Emplyee038</t>
  </si>
  <si>
    <t>A00079</t>
  </si>
  <si>
    <t>Emplyee079</t>
  </si>
  <si>
    <t>A00003</t>
  </si>
  <si>
    <t>Emplyee003</t>
  </si>
  <si>
    <t>A00011</t>
  </si>
  <si>
    <t>Emplyee011</t>
  </si>
  <si>
    <t>A00025</t>
  </si>
  <si>
    <t>Emplyee025</t>
  </si>
  <si>
    <t>A00060</t>
  </si>
  <si>
    <t>Emplyee060</t>
  </si>
  <si>
    <t>A00075</t>
  </si>
  <si>
    <t>Emplyee075</t>
  </si>
  <si>
    <t>A00035</t>
  </si>
  <si>
    <t>Emplyee035</t>
  </si>
  <si>
    <t>A00012</t>
  </si>
  <si>
    <t>Emplyee012</t>
  </si>
  <si>
    <t>A00015</t>
  </si>
  <si>
    <t>Emplyee015</t>
  </si>
  <si>
    <t>A00087</t>
  </si>
  <si>
    <t>Emplyee087</t>
  </si>
  <si>
    <t>Target Hrs.</t>
  </si>
  <si>
    <t>Value</t>
  </si>
  <si>
    <t>Unique Trainee Count</t>
  </si>
  <si>
    <t>No. of Employee</t>
  </si>
  <si>
    <t>Avg Training Hrs/Emp</t>
  </si>
  <si>
    <t>Adherence %</t>
  </si>
  <si>
    <t>Month</t>
  </si>
  <si>
    <t>Jan</t>
  </si>
  <si>
    <t>Feb</t>
  </si>
  <si>
    <t>Mar</t>
  </si>
  <si>
    <t>Apr</t>
  </si>
  <si>
    <t>May</t>
  </si>
  <si>
    <t>Jun</t>
  </si>
  <si>
    <t>Jul</t>
  </si>
  <si>
    <t>Aug</t>
  </si>
  <si>
    <t>Sep</t>
  </si>
  <si>
    <t>Oct</t>
  </si>
  <si>
    <t>Nov</t>
  </si>
  <si>
    <t>Dec</t>
  </si>
  <si>
    <t>Total</t>
  </si>
  <si>
    <t>Sum of Training Hrs.</t>
  </si>
  <si>
    <t>Grand Total</t>
  </si>
  <si>
    <t>Values</t>
  </si>
  <si>
    <t>Count of Employee ID</t>
  </si>
  <si>
    <t>Date (Month)</t>
  </si>
  <si>
    <t>&lt;80%</t>
  </si>
  <si>
    <t>&gt;100%</t>
  </si>
  <si>
    <t>80-100%</t>
  </si>
  <si>
    <t>Status</t>
  </si>
  <si>
    <t>Sum of Adherence %</t>
  </si>
  <si>
    <t>% Adherence</t>
  </si>
  <si>
    <t>&gt;=100</t>
  </si>
  <si>
    <t>80%-100%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</si>
</sst>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0%;0.00%"/>
  </numFmts>
  <fonts count="12" x14ac:knownFonts="1">
    <font>
      <sz val="11"/>
      <color theme="1"/>
      <name val="Aptos Narrow"/>
      <family val="2"/>
      <scheme val="minor"/>
    </font>
    <font>
      <b/>
      <sz val="11"/>
      <color theme="0"/>
      <name val="Aptos Narrow"/>
      <family val="2"/>
      <scheme val="minor"/>
    </font>
    <font>
      <sz val="10"/>
      <color indexed="8"/>
      <name val="Arial"/>
      <family val="2"/>
    </font>
    <font>
      <b/>
      <sz val="10"/>
      <color theme="0"/>
      <name val="Aptos Narrow"/>
      <family val="2"/>
      <scheme val="minor"/>
    </font>
    <font>
      <sz val="10"/>
      <color theme="1"/>
      <name val="Aptos Narrow"/>
      <family val="2"/>
      <scheme val="minor"/>
    </font>
    <font>
      <sz val="8"/>
      <name val="Aptos Narrow"/>
      <family val="2"/>
      <scheme val="minor"/>
    </font>
    <font>
      <sz val="11"/>
      <color theme="1"/>
      <name val="Aptos Narrow"/>
      <family val="2"/>
      <scheme val="minor"/>
    </font>
    <font>
      <b/>
      <sz val="16"/>
      <color rgb="FF00416E"/>
      <name val="Aptos Narrow"/>
      <family val="2"/>
      <scheme val="minor"/>
    </font>
    <font>
      <b/>
      <sz val="16"/>
      <color theme="1"/>
      <name val="Aptos Narrow"/>
      <family val="2"/>
      <scheme val="minor"/>
    </font>
    <font>
      <b/>
      <sz val="18"/>
      <color rgb="FF5AE6E6"/>
      <name val="Arial Nova Cond"/>
      <family val="2"/>
    </font>
    <font>
      <b/>
      <sz val="11"/>
      <color theme="1"/>
      <name val="Aptos Narrow"/>
      <family val="2"/>
      <scheme val="minor"/>
    </font>
    <font>
      <sz val="11"/>
      <color theme="1"/>
      <name val="Segoe UI Semilight"/>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416E"/>
        <bgColor indexed="64"/>
      </patternFill>
    </fill>
    <fill>
      <patternFill patternType="solid">
        <fgColor rgb="FF96C8E6"/>
        <bgColor indexed="64"/>
      </patternFill>
    </fill>
    <fill>
      <patternFill patternType="solid">
        <fgColor theme="0"/>
        <bgColor indexed="64"/>
      </patternFill>
    </fill>
    <fill>
      <patternFill patternType="solid">
        <fgColor rgb="FF004B78"/>
        <bgColor indexed="64"/>
      </patternFill>
    </fill>
    <fill>
      <gradientFill degree="90">
        <stop position="0">
          <color theme="0"/>
        </stop>
        <stop position="0.5">
          <color rgb="FF96C8E6"/>
        </stop>
        <stop position="1">
          <color theme="0"/>
        </stop>
      </gradientFill>
    </fill>
    <fill>
      <gradientFill degree="90">
        <stop position="0">
          <color theme="0" tint="-0.1490218817712943"/>
        </stop>
        <stop position="0.5">
          <color theme="0"/>
        </stop>
        <stop position="1">
          <color theme="0" tint="-0.1490218817712943"/>
        </stop>
      </gradientFill>
    </fill>
    <fill>
      <patternFill patternType="solid">
        <fgColor theme="4" tint="0.79998168889431442"/>
        <bgColor indexed="64"/>
      </patternFill>
    </fill>
  </fills>
  <borders count="10">
    <border>
      <left/>
      <right/>
      <top/>
      <bottom/>
      <diagonal/>
    </border>
    <border>
      <left style="thin">
        <color theme="4" tint="0.39997558519241921"/>
      </left>
      <right style="thin">
        <color theme="4" tint="0.39997558519241921"/>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diagonal/>
    </border>
    <border>
      <left/>
      <right style="thick">
        <color rgb="FF007896"/>
      </right>
      <top/>
      <bottom style="thick">
        <color rgb="FF007896"/>
      </bottom>
      <diagonal/>
    </border>
    <border>
      <left/>
      <right style="thick">
        <color rgb="FF007896"/>
      </right>
      <top/>
      <bottom/>
      <diagonal/>
    </border>
    <border>
      <left/>
      <right/>
      <top/>
      <bottom style="thick">
        <color rgb="FF007896"/>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alignment vertical="top"/>
    </xf>
    <xf numFmtId="43" fontId="6" fillId="0" borderId="0" applyFont="0" applyFill="0" applyBorder="0" applyAlignment="0" applyProtection="0"/>
    <xf numFmtId="9" fontId="6" fillId="0" borderId="0" applyFont="0" applyFill="0" applyBorder="0" applyAlignment="0" applyProtection="0"/>
  </cellStyleXfs>
  <cellXfs count="44">
    <xf numFmtId="0" fontId="0" fillId="0" borderId="0" xfId="0"/>
    <xf numFmtId="0" fontId="1" fillId="2" borderId="1" xfId="0" applyFont="1" applyFill="1" applyBorder="1" applyAlignment="1">
      <alignment horizontal="center" vertical="center"/>
    </xf>
    <xf numFmtId="0" fontId="0" fillId="0" borderId="0" xfId="0" applyAlignment="1">
      <alignment horizontal="center" vertical="center"/>
    </xf>
    <xf numFmtId="15" fontId="0" fillId="0" borderId="0" xfId="0" applyNumberFormat="1"/>
    <xf numFmtId="0" fontId="0" fillId="0" borderId="2" xfId="0" applyBorder="1"/>
    <xf numFmtId="15" fontId="0" fillId="0" borderId="3" xfId="0" applyNumberFormat="1" applyBorder="1"/>
    <xf numFmtId="0" fontId="0" fillId="0" borderId="3" xfId="0" applyBorder="1"/>
    <xf numFmtId="0" fontId="0" fillId="0" borderId="4" xfId="0" applyBorder="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0" xfId="0" applyFont="1" applyFill="1" applyAlignment="1">
      <alignment horizontal="center" vertical="center"/>
    </xf>
    <xf numFmtId="0" fontId="3" fillId="0" borderId="5" xfId="1" applyFont="1" applyBorder="1" applyAlignment="1">
      <alignment horizontal="center" vertical="center"/>
    </xf>
    <xf numFmtId="0" fontId="3" fillId="0" borderId="0" xfId="1" applyFont="1" applyAlignment="1">
      <alignment horizontal="center" vertical="center"/>
    </xf>
    <xf numFmtId="0" fontId="0" fillId="3" borderId="2" xfId="0" applyFill="1" applyBorder="1"/>
    <xf numFmtId="0" fontId="0" fillId="3" borderId="3" xfId="0" applyFill="1" applyBorder="1"/>
    <xf numFmtId="15" fontId="0" fillId="3" borderId="3" xfId="0" applyNumberFormat="1" applyFill="1" applyBorder="1"/>
    <xf numFmtId="0" fontId="0" fillId="3" borderId="4" xfId="0" applyFill="1" applyBorder="1"/>
    <xf numFmtId="0" fontId="4" fillId="0" borderId="0" xfId="1" applyFont="1" applyAlignment="1">
      <alignment horizontal="left" vertical="center"/>
    </xf>
    <xf numFmtId="0" fontId="0" fillId="0" borderId="0" xfId="0" pivotButton="1"/>
    <xf numFmtId="43" fontId="0" fillId="0" borderId="0" xfId="2" applyFont="1"/>
    <xf numFmtId="9" fontId="0" fillId="0" borderId="0" xfId="3" applyFont="1"/>
    <xf numFmtId="0" fontId="0" fillId="4" borderId="0" xfId="0" applyFill="1"/>
    <xf numFmtId="0" fontId="0" fillId="5" borderId="0" xfId="0" applyFill="1"/>
    <xf numFmtId="0" fontId="0" fillId="6" borderId="0" xfId="0" applyFill="1"/>
    <xf numFmtId="0" fontId="0" fillId="6" borderId="7" xfId="0" applyFill="1" applyBorder="1"/>
    <xf numFmtId="0" fontId="0" fillId="6" borderId="8" xfId="0" applyFill="1" applyBorder="1"/>
    <xf numFmtId="0" fontId="0" fillId="6" borderId="6" xfId="0" applyFill="1" applyBorder="1"/>
    <xf numFmtId="0" fontId="0" fillId="7" borderId="0" xfId="0" applyFill="1"/>
    <xf numFmtId="0" fontId="0" fillId="8" borderId="0" xfId="0" applyFill="1"/>
    <xf numFmtId="0" fontId="0" fillId="9" borderId="0" xfId="0" applyFill="1"/>
    <xf numFmtId="0" fontId="0" fillId="9" borderId="7" xfId="0" applyFill="1" applyBorder="1"/>
    <xf numFmtId="0" fontId="7" fillId="8" borderId="0" xfId="0" applyFont="1" applyFill="1" applyAlignment="1">
      <alignment vertical="center"/>
    </xf>
    <xf numFmtId="0" fontId="8" fillId="8" borderId="0" xfId="0" applyFont="1" applyFill="1"/>
    <xf numFmtId="0" fontId="7" fillId="8" borderId="0" xfId="0" applyFont="1" applyFill="1"/>
    <xf numFmtId="0" fontId="9" fillId="7" borderId="0" xfId="0" applyFont="1" applyFill="1" applyAlignment="1">
      <alignment horizontal="center" vertical="center"/>
    </xf>
    <xf numFmtId="0" fontId="11" fillId="0" borderId="0" xfId="0" applyFont="1"/>
    <xf numFmtId="0" fontId="10" fillId="0" borderId="0" xfId="0" applyFont="1" applyAlignment="1">
      <alignment horizontal="center" vertical="center"/>
    </xf>
    <xf numFmtId="164" fontId="0" fillId="0" borderId="0" xfId="0" applyNumberFormat="1"/>
    <xf numFmtId="0" fontId="10" fillId="10" borderId="9" xfId="0" applyFont="1" applyFill="1" applyBorder="1" applyAlignment="1">
      <alignment horizontal="center" vertical="center"/>
    </xf>
    <xf numFmtId="0" fontId="0" fillId="0" borderId="9" xfId="0" applyBorder="1"/>
    <xf numFmtId="9" fontId="0" fillId="0" borderId="9" xfId="3" applyFont="1" applyBorder="1" applyAlignment="1">
      <alignment horizontal="center"/>
    </xf>
    <xf numFmtId="9" fontId="0" fillId="0" borderId="9" xfId="3" applyFont="1" applyBorder="1" applyAlignment="1">
      <alignment horizontal="center" vertical="center"/>
    </xf>
    <xf numFmtId="0" fontId="0" fillId="0" borderId="0" xfId="0" applyNumberFormat="1"/>
  </cellXfs>
  <cellStyles count="4">
    <cellStyle name="Comma" xfId="2" builtinId="3"/>
    <cellStyle name="Normal" xfId="0" builtinId="0"/>
    <cellStyle name="Normal 2" xfId="1" xr:uid="{59F6772D-E1FF-4051-994C-47B51B9BC348}"/>
    <cellStyle name="Percent" xfId="3" builtinId="5"/>
  </cellStyles>
  <dxfs count="27">
    <dxf>
      <font>
        <color rgb="FF00416E"/>
        <name val="Segoe UI Semibold"/>
        <family val="2"/>
        <scheme val="none"/>
      </font>
      <fill>
        <patternFill>
          <bgColor rgb="FF00416E"/>
        </patternFill>
      </fill>
      <border>
        <left/>
        <right/>
        <top/>
        <bottom/>
        <vertical/>
        <horizontal/>
      </border>
    </dxf>
    <dxf>
      <font>
        <b/>
        <i val="0"/>
        <sz val="11"/>
        <color rgb="FF00416E"/>
        <name val="Segoe UI"/>
        <family val="2"/>
        <scheme val="none"/>
      </font>
      <fill>
        <patternFill>
          <bgColor rgb="FF00416E"/>
        </patternFill>
      </fill>
      <border>
        <left/>
        <right/>
        <top/>
        <bottom/>
        <vertical/>
        <horizontal/>
      </border>
    </dxf>
    <dxf>
      <font>
        <b/>
        <i val="0"/>
        <sz val="12"/>
        <color rgb="FF00416E"/>
        <name val="Segoe UI"/>
        <family val="2"/>
        <scheme val="none"/>
      </font>
      <fill>
        <patternFill>
          <bgColor rgb="FF67AFDB"/>
        </patternFill>
      </fill>
      <border>
        <left/>
        <right/>
        <top/>
        <bottom/>
        <vertical/>
        <horizontal/>
      </border>
    </dxf>
    <dxf>
      <font>
        <sz val="11"/>
        <color rgb="FF96C8E6"/>
        <name val="Segoe UI Semibold"/>
        <family val="2"/>
        <scheme val="none"/>
      </font>
      <fill>
        <patternFill>
          <bgColor rgb="FF67AFDB"/>
        </patternFill>
      </fill>
      <border>
        <left/>
        <right/>
        <top/>
        <bottom/>
        <vertical/>
        <horizontal/>
      </border>
    </dxf>
    <dxf>
      <numFmt numFmtId="0" formatCode="General"/>
    </dxf>
    <dxf>
      <numFmt numFmtId="0" formatCode="General"/>
    </dxf>
    <dxf>
      <font>
        <b/>
        <i val="0"/>
        <strike val="0"/>
        <condense val="0"/>
        <extend val="0"/>
        <outline val="0"/>
        <shadow val="0"/>
        <u val="none"/>
        <vertAlign val="baseline"/>
        <sz val="11"/>
        <color theme="0"/>
        <name val="Aptos Narrow"/>
        <family val="2"/>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theme="4" tint="0.39997558519241921"/>
        </left>
        <right style="thin">
          <color theme="4" tint="0.39997558519241921"/>
        </right>
        <top/>
        <bottom/>
      </border>
    </dxf>
    <dxf>
      <numFmt numFmtId="20" formatCode="dd/mmm/yy"/>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ptos Narrow"/>
        <family val="2"/>
        <scheme val="minor"/>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left" vertical="center" textRotation="0" wrapText="0" indent="0" justifyLastLine="0" shrinkToFit="0" readingOrder="0"/>
    </dxf>
    <dxf>
      <border outline="0">
        <top style="thin">
          <color theme="4" tint="0.39997558519241921"/>
        </top>
        <bottom style="thin">
          <color theme="1" tint="0.499984740745262"/>
        </bottom>
      </border>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fill>
        <patternFill patternType="none">
          <fgColor indexed="64"/>
          <bgColor auto="1"/>
        </patternFill>
      </fill>
      <alignment horizontal="center" vertical="center" textRotation="0" wrapText="0" indent="0" justifyLastLine="0" shrinkToFit="0" readingOrder="0"/>
    </dxf>
  </dxfs>
  <tableStyles count="2" defaultTableStyle="TableStyleMedium2" defaultPivotStyle="PivotStyleLight16">
    <tableStyle name="Month" pivot="0" table="0" count="10" xr9:uid="{9120C038-B353-4852-9EB4-E9467958ED3F}">
      <tableStyleElement type="wholeTable" dxfId="1"/>
      <tableStyleElement type="headerRow" dxfId="0"/>
    </tableStyle>
    <tableStyle name="Others" pivot="0" table="0" count="10" xr9:uid="{46D262B9-9108-433B-8181-4103E9AC029E}">
      <tableStyleElement type="wholeTable" dxfId="3"/>
      <tableStyleElement type="headerRow" dxfId="2"/>
    </tableStyle>
  </tableStyles>
  <colors>
    <mruColors>
      <color rgb="FF00416E"/>
      <color rgb="FF007896"/>
      <color rgb="FF67AFDB"/>
      <color rgb="FF96C8E6"/>
      <color rgb="FFE6325A"/>
      <color rgb="FF5AE6E6"/>
      <color rgb="FF004B78"/>
      <color rgb="FF4BC896"/>
      <color rgb="FFF8D528"/>
      <color rgb="FFFAE164"/>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7" tint="0.79989013336588644"/>
            <name val="Segoe UI"/>
            <family val="2"/>
            <scheme val="none"/>
          </font>
          <fill>
            <gradientFill degree="90">
              <stop position="0">
                <color rgb="FF5AE6E6"/>
              </stop>
              <stop position="0.5">
                <color rgb="FF00416E"/>
              </stop>
              <stop position="1">
                <color rgb="FF5AE6E6"/>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0"/>
            <color rgb="FF00416E"/>
            <name val="Segoe UI"/>
            <family val="2"/>
            <scheme val="none"/>
          </font>
          <fill>
            <gradientFill degree="270">
              <stop position="0">
                <color theme="0"/>
              </stop>
              <stop position="1">
                <color rgb="FFE6325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7" tint="0.79989013336588644"/>
            <name val="Segoe UI"/>
            <family val="2"/>
            <scheme val="none"/>
          </font>
          <fill>
            <gradientFill degree="90">
              <stop position="0">
                <color rgb="FF00416E"/>
              </stop>
              <stop position="0.5">
                <color rgb="FF007896"/>
              </stop>
              <stop position="1">
                <color rgb="FF00416E"/>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0"/>
            <color rgb="FF00416E"/>
            <name val="Segoe UI"/>
            <family val="2"/>
            <scheme val="none"/>
          </font>
          <fill>
            <gradientFill degree="270">
              <stop position="0">
                <color theme="0"/>
              </stop>
              <stop position="1">
                <color rgb="FFE6325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onth">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Others">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2.xml"/><Relationship Id="rId21" Type="http://schemas.openxmlformats.org/officeDocument/2006/relationships/theme" Target="theme/theme1.xml"/><Relationship Id="rId34" Type="http://schemas.openxmlformats.org/officeDocument/2006/relationships/customXml" Target="../customXml/item7.xml"/><Relationship Id="rId42" Type="http://schemas.openxmlformats.org/officeDocument/2006/relationships/customXml" Target="../customXml/item15.xml"/><Relationship Id="rId47" Type="http://schemas.microsoft.com/office/2006/relationships/vbaProject" Target="vbaProject.bin"/><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sharedStrings" Target="sharedString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4.xml"/><Relationship Id="rId19" Type="http://schemas.microsoft.com/office/2007/relationships/slicerCache" Target="slicerCaches/slicerCache3.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1.xml"/><Relationship Id="rId25" Type="http://schemas.openxmlformats.org/officeDocument/2006/relationships/sheetMetadata" Target="metadata.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4.xml"/><Relationship Id="rId41" Type="http://schemas.openxmlformats.org/officeDocument/2006/relationships/customXml" Target="../customXml/item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'Master Data'!$H$1</c:f>
              <c:strCache>
                <c:ptCount val="1"/>
                <c:pt idx="0">
                  <c:v>Value</c:v>
                </c:pt>
              </c:strCache>
            </c:strRef>
          </c:tx>
          <c:spPr>
            <a:gradFill>
              <a:gsLst>
                <a:gs pos="0">
                  <a:srgbClr val="00416E"/>
                </a:gs>
                <a:gs pos="100000">
                  <a:schemeClr val="bg1"/>
                </a:gs>
              </a:gsLst>
              <a:lin ang="10800000" scaled="0"/>
            </a:gra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416E"/>
                    </a:solidFill>
                    <a:latin typeface="Arial Nova Cond" panose="020B0506020202020204"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 Data'!$G$2:$G$9</c:f>
              <c:strCache>
                <c:ptCount val="8"/>
                <c:pt idx="0">
                  <c:v>Trainer 01</c:v>
                </c:pt>
                <c:pt idx="1">
                  <c:v>Trainer 02</c:v>
                </c:pt>
                <c:pt idx="2">
                  <c:v>Trainer 03</c:v>
                </c:pt>
                <c:pt idx="3">
                  <c:v>Trainer 04</c:v>
                </c:pt>
                <c:pt idx="4">
                  <c:v>Trainer 05</c:v>
                </c:pt>
                <c:pt idx="5">
                  <c:v>Trainer 06</c:v>
                </c:pt>
                <c:pt idx="6">
                  <c:v>Trainer 07</c:v>
                </c:pt>
                <c:pt idx="7">
                  <c:v>Trainer 08</c:v>
                </c:pt>
              </c:strCache>
            </c:strRef>
          </c:cat>
          <c:val>
            <c:numRef>
              <c:f>'Master Data'!$H$2:$H$9</c:f>
              <c:numCache>
                <c:formatCode>General</c:formatCode>
                <c:ptCount val="8"/>
                <c:pt idx="0">
                  <c:v>22</c:v>
                </c:pt>
                <c:pt idx="1">
                  <c:v>15</c:v>
                </c:pt>
                <c:pt idx="2">
                  <c:v>33</c:v>
                </c:pt>
                <c:pt idx="3">
                  <c:v>38</c:v>
                </c:pt>
                <c:pt idx="4">
                  <c:v>12</c:v>
                </c:pt>
                <c:pt idx="5">
                  <c:v>24</c:v>
                </c:pt>
                <c:pt idx="6">
                  <c:v>14</c:v>
                </c:pt>
                <c:pt idx="7">
                  <c:v>31</c:v>
                </c:pt>
              </c:numCache>
            </c:numRef>
          </c:val>
          <c:extLst>
            <c:ext xmlns:c16="http://schemas.microsoft.com/office/drawing/2014/chart" uri="{C3380CC4-5D6E-409C-BE32-E72D297353CC}">
              <c16:uniqueId val="{00000000-9FC0-43E2-B225-FAE99DEAD6D5}"/>
            </c:ext>
          </c:extLst>
        </c:ser>
        <c:dLbls>
          <c:showLegendKey val="0"/>
          <c:showVal val="0"/>
          <c:showCatName val="0"/>
          <c:showSerName val="0"/>
          <c:showPercent val="0"/>
          <c:showBubbleSize val="0"/>
        </c:dLbls>
        <c:gapWidth val="50"/>
        <c:axId val="581684191"/>
        <c:axId val="581686591"/>
      </c:barChart>
      <c:catAx>
        <c:axId val="581684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00416E"/>
                </a:solidFill>
                <a:latin typeface="Arial Nova Cond" panose="020B0506020202020204" pitchFamily="34" charset="0"/>
                <a:ea typeface="+mn-ea"/>
                <a:cs typeface="Segoe UI Semibold" panose="020B0702040204020203" pitchFamily="34" charset="0"/>
              </a:defRPr>
            </a:pPr>
            <a:endParaRPr lang="en-US"/>
          </a:p>
        </c:txPr>
        <c:crossAx val="581686591"/>
        <c:crosses val="autoZero"/>
        <c:auto val="1"/>
        <c:lblAlgn val="ctr"/>
        <c:lblOffset val="100"/>
        <c:noMultiLvlLbl val="0"/>
      </c:catAx>
      <c:valAx>
        <c:axId val="581686591"/>
        <c:scaling>
          <c:orientation val="minMax"/>
        </c:scaling>
        <c:delete val="1"/>
        <c:axPos val="b"/>
        <c:numFmt formatCode="General" sourceLinked="1"/>
        <c:majorTickMark val="none"/>
        <c:minorTickMark val="none"/>
        <c:tickLblPos val="nextTo"/>
        <c:crossAx val="58168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gs>
        <a:gs pos="100000">
          <a:srgbClr val="5AE6E6"/>
        </a:gs>
      </a:gsLst>
      <a:lin ang="10800000" scaled="0"/>
    </a:gradFill>
    <a:ln w="9525" cap="flat" cmpd="sng" algn="ctr">
      <a:solidFill>
        <a:srgbClr val="00416E"/>
      </a:solidFill>
      <a:round/>
    </a:ln>
    <a:effectLst>
      <a:outerShdw dist="88900" dir="2700000" algn="tl" rotWithShape="0">
        <a:srgbClr val="00416E"/>
      </a:outerShdw>
    </a:effectLst>
  </c:spPr>
  <c:txPr>
    <a:bodyPr/>
    <a:lstStyle/>
    <a:p>
      <a:pPr>
        <a:defRPr>
          <a:latin typeface="Arial Nova Cond" panose="020B0506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'Master Data'!$M$1</c:f>
              <c:strCache>
                <c:ptCount val="1"/>
                <c:pt idx="0">
                  <c:v>Value</c:v>
                </c:pt>
              </c:strCache>
            </c:strRef>
          </c:tx>
          <c:spPr>
            <a:gradFill>
              <a:gsLst>
                <a:gs pos="0">
                  <a:srgbClr val="00416E"/>
                </a:gs>
                <a:gs pos="100000">
                  <a:schemeClr val="bg1"/>
                </a:gs>
              </a:gsLst>
              <a:lin ang="10800000" scaled="0"/>
            </a:gra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416E"/>
                    </a:solidFill>
                    <a:latin typeface="Arial Nova Cond" panose="020B0506020202020204"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 Data'!$L$2:$L$11</c:f>
              <c:strCache>
                <c:ptCount val="10"/>
                <c:pt idx="0">
                  <c:v>Excel Techniques</c:v>
                </c:pt>
                <c:pt idx="1">
                  <c:v>Team Building</c:v>
                </c:pt>
                <c:pt idx="2">
                  <c:v>Project Management</c:v>
                </c:pt>
                <c:pt idx="3">
                  <c:v>Sales Strategies</c:v>
                </c:pt>
                <c:pt idx="4">
                  <c:v>Design Thinking</c:v>
                </c:pt>
                <c:pt idx="5">
                  <c:v>SCM Principles</c:v>
                </c:pt>
                <c:pt idx="6">
                  <c:v>Lean Manufacturing</c:v>
                </c:pt>
                <c:pt idx="7">
                  <c:v>Six Sigma</c:v>
                </c:pt>
                <c:pt idx="8">
                  <c:v>Leadership</c:v>
                </c:pt>
                <c:pt idx="9">
                  <c:v>Quality Management</c:v>
                </c:pt>
              </c:strCache>
            </c:strRef>
          </c:cat>
          <c:val>
            <c:numRef>
              <c:f>'Master Data'!$M$2:$M$11</c:f>
              <c:numCache>
                <c:formatCode>General</c:formatCode>
                <c:ptCount val="10"/>
                <c:pt idx="0">
                  <c:v>30</c:v>
                </c:pt>
                <c:pt idx="1">
                  <c:v>22</c:v>
                </c:pt>
                <c:pt idx="2">
                  <c:v>15</c:v>
                </c:pt>
                <c:pt idx="3">
                  <c:v>15</c:v>
                </c:pt>
                <c:pt idx="4">
                  <c:v>15</c:v>
                </c:pt>
                <c:pt idx="5">
                  <c:v>14</c:v>
                </c:pt>
                <c:pt idx="6">
                  <c:v>24</c:v>
                </c:pt>
                <c:pt idx="7">
                  <c:v>32</c:v>
                </c:pt>
                <c:pt idx="8">
                  <c:v>9</c:v>
                </c:pt>
                <c:pt idx="9">
                  <c:v>13</c:v>
                </c:pt>
              </c:numCache>
            </c:numRef>
          </c:val>
          <c:extLst>
            <c:ext xmlns:c16="http://schemas.microsoft.com/office/drawing/2014/chart" uri="{C3380CC4-5D6E-409C-BE32-E72D297353CC}">
              <c16:uniqueId val="{00000000-FB04-406F-9488-3F73B6B9F466}"/>
            </c:ext>
          </c:extLst>
        </c:ser>
        <c:dLbls>
          <c:showLegendKey val="0"/>
          <c:showVal val="0"/>
          <c:showCatName val="0"/>
          <c:showSerName val="0"/>
          <c:showPercent val="0"/>
          <c:showBubbleSize val="0"/>
        </c:dLbls>
        <c:gapWidth val="50"/>
        <c:axId val="581719711"/>
        <c:axId val="581719231"/>
      </c:barChart>
      <c:catAx>
        <c:axId val="5817197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00416E"/>
                </a:solidFill>
                <a:latin typeface="Arial Nova Cond" panose="020B0506020202020204" pitchFamily="34" charset="0"/>
                <a:ea typeface="+mn-ea"/>
                <a:cs typeface="Segoe UI Semibold" panose="020B0702040204020203" pitchFamily="34" charset="0"/>
              </a:defRPr>
            </a:pPr>
            <a:endParaRPr lang="en-US"/>
          </a:p>
        </c:txPr>
        <c:crossAx val="581719231"/>
        <c:crosses val="autoZero"/>
        <c:auto val="1"/>
        <c:lblAlgn val="ctr"/>
        <c:lblOffset val="100"/>
        <c:noMultiLvlLbl val="0"/>
      </c:catAx>
      <c:valAx>
        <c:axId val="581719231"/>
        <c:scaling>
          <c:orientation val="minMax"/>
        </c:scaling>
        <c:delete val="1"/>
        <c:axPos val="b"/>
        <c:numFmt formatCode="General" sourceLinked="1"/>
        <c:majorTickMark val="none"/>
        <c:minorTickMark val="none"/>
        <c:tickLblPos val="nextTo"/>
        <c:crossAx val="581719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gs>
        <a:gs pos="100000">
          <a:srgbClr val="5AE6E6"/>
        </a:gs>
      </a:gsLst>
      <a:lin ang="10800000" scaled="0"/>
    </a:gradFill>
    <a:ln w="9525" cap="flat" cmpd="sng" algn="ctr">
      <a:solidFill>
        <a:srgbClr val="00416E"/>
      </a:solidFill>
      <a:round/>
    </a:ln>
    <a:effectLst>
      <a:outerShdw dist="88900" dir="2700000" algn="tl" rotWithShape="0">
        <a:srgbClr val="00416E"/>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'Master Data'!$AA$1</c:f>
              <c:strCache>
                <c:ptCount val="1"/>
                <c:pt idx="0">
                  <c:v>Training Hrs.</c:v>
                </c:pt>
              </c:strCache>
            </c:strRef>
          </c:tx>
          <c:spPr>
            <a:gradFill flip="none" rotWithShape="1">
              <a:gsLst>
                <a:gs pos="100000">
                  <a:schemeClr val="bg1"/>
                </a:gs>
                <a:gs pos="0">
                  <a:srgbClr val="E6325A"/>
                </a:gs>
              </a:gsLst>
              <a:lin ang="5400000" scaled="1"/>
              <a:tileRect/>
            </a:gra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416E"/>
                    </a:solidFill>
                    <a:latin typeface="Arial Nova Cond" panose="020B0506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 Data'!$Z$2:$Z$13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'Master Data'!$AA$2:$AA$13</c:f>
              <c:numCache>
                <c:formatCode>General</c:formatCode>
                <c:ptCount val="12"/>
                <c:pt idx="0">
                  <c:v>163</c:v>
                </c:pt>
                <c:pt idx="1">
                  <c:v>195</c:v>
                </c:pt>
                <c:pt idx="2">
                  <c:v>147</c:v>
                </c:pt>
                <c:pt idx="3">
                  <c:v>222</c:v>
                </c:pt>
                <c:pt idx="4">
                  <c:v>253</c:v>
                </c:pt>
                <c:pt idx="5">
                  <c:v>192</c:v>
                </c:pt>
                <c:pt idx="6">
                  <c:v>288</c:v>
                </c:pt>
                <c:pt idx="7">
                  <c:v>268</c:v>
                </c:pt>
                <c:pt idx="8">
                  <c:v>104</c:v>
                </c:pt>
                <c:pt idx="9">
                  <c:v>222</c:v>
                </c:pt>
                <c:pt idx="10">
                  <c:v>110</c:v>
                </c:pt>
                <c:pt idx="11">
                  <c:v>214</c:v>
                </c:pt>
              </c:numCache>
            </c:numRef>
          </c:val>
          <c:extLst>
            <c:ext xmlns:c16="http://schemas.microsoft.com/office/drawing/2014/chart" uri="{C3380CC4-5D6E-409C-BE32-E72D297353CC}">
              <c16:uniqueId val="{00000000-7381-46E5-A21E-EC13E39B2C3E}"/>
            </c:ext>
          </c:extLst>
        </c:ser>
        <c:dLbls>
          <c:showLegendKey val="0"/>
          <c:showVal val="0"/>
          <c:showCatName val="0"/>
          <c:showSerName val="0"/>
          <c:showPercent val="0"/>
          <c:showBubbleSize val="0"/>
        </c:dLbls>
        <c:gapWidth val="50"/>
        <c:axId val="581739391"/>
        <c:axId val="581740351"/>
      </c:barChart>
      <c:catAx>
        <c:axId val="58173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00416E"/>
                </a:solidFill>
                <a:latin typeface="Arial Nova Cond" panose="020B0506020202020204" pitchFamily="34" charset="0"/>
                <a:ea typeface="+mn-ea"/>
                <a:cs typeface="+mn-cs"/>
              </a:defRPr>
            </a:pPr>
            <a:endParaRPr lang="en-US"/>
          </a:p>
        </c:txPr>
        <c:crossAx val="581740351"/>
        <c:crosses val="autoZero"/>
        <c:auto val="1"/>
        <c:lblAlgn val="ctr"/>
        <c:lblOffset val="100"/>
        <c:noMultiLvlLbl val="0"/>
      </c:catAx>
      <c:valAx>
        <c:axId val="581740351"/>
        <c:scaling>
          <c:orientation val="minMax"/>
        </c:scaling>
        <c:delete val="1"/>
        <c:axPos val="l"/>
        <c:numFmt formatCode="General" sourceLinked="1"/>
        <c:majorTickMark val="none"/>
        <c:minorTickMark val="none"/>
        <c:tickLblPos val="nextTo"/>
        <c:crossAx val="581739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100000">
          <a:schemeClr val="bg1"/>
        </a:gs>
        <a:gs pos="0">
          <a:srgbClr val="F8D528"/>
        </a:gs>
      </a:gsLst>
      <a:lin ang="10800000" scaled="0"/>
    </a:gradFill>
    <a:ln w="9525" cap="flat" cmpd="sng" algn="ctr">
      <a:solidFill>
        <a:srgbClr val="E6325A"/>
      </a:solidFill>
      <a:round/>
    </a:ln>
    <a:effectLst>
      <a:outerShdw dist="88900" dir="2700000" algn="tl" rotWithShape="0">
        <a:srgbClr val="E6325A"/>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18785310734463"/>
          <c:y val="6.7442810457516336E-2"/>
          <c:w val="0.84392608286252357"/>
          <c:h val="0.56461846405228755"/>
        </c:manualLayout>
      </c:layout>
      <c:barChart>
        <c:barDir val="col"/>
        <c:grouping val="clustered"/>
        <c:varyColors val="0"/>
        <c:ser>
          <c:idx val="0"/>
          <c:order val="0"/>
          <c:tx>
            <c:strRef>
              <c:f>'Master Data'!$X$1</c:f>
              <c:strCache>
                <c:ptCount val="1"/>
                <c:pt idx="0">
                  <c:v>Adherence %</c:v>
                </c:pt>
              </c:strCache>
            </c:strRef>
          </c:tx>
          <c:spPr>
            <a:gradFill flip="none" rotWithShape="1">
              <a:gsLst>
                <a:gs pos="100000">
                  <a:schemeClr val="bg1"/>
                </a:gs>
                <a:gs pos="0">
                  <a:srgbClr val="E6325A"/>
                </a:gs>
              </a:gsLst>
              <a:lin ang="5400000" scaled="1"/>
              <a:tileRect/>
            </a:gra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416E"/>
                    </a:solidFill>
                    <a:latin typeface="Arial Nova Cond" panose="020B0506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 Data'!$R$2:$R$10</c:f>
              <c:strCache>
                <c:ptCount val="9"/>
                <c:pt idx="0">
                  <c:v>Design Engineering</c:v>
                </c:pt>
                <c:pt idx="1">
                  <c:v>Finance</c:v>
                </c:pt>
                <c:pt idx="2">
                  <c:v>HR</c:v>
                </c:pt>
                <c:pt idx="3">
                  <c:v>IT</c:v>
                </c:pt>
                <c:pt idx="4">
                  <c:v>Production</c:v>
                </c:pt>
                <c:pt idx="5">
                  <c:v>Production Planning</c:v>
                </c:pt>
                <c:pt idx="6">
                  <c:v>Quality</c:v>
                </c:pt>
                <c:pt idx="7">
                  <c:v>Sales &amp; Marketing</c:v>
                </c:pt>
                <c:pt idx="8">
                  <c:v>SCM</c:v>
                </c:pt>
              </c:strCache>
            </c:strRef>
          </c:cat>
          <c:val>
            <c:numRef>
              <c:f>'Master Data'!$X$2:$X$10</c:f>
              <c:numCache>
                <c:formatCode>0%</c:formatCode>
                <c:ptCount val="9"/>
                <c:pt idx="0">
                  <c:v>0.54666666666666663</c:v>
                </c:pt>
                <c:pt idx="1">
                  <c:v>0.51111111111111107</c:v>
                </c:pt>
                <c:pt idx="2">
                  <c:v>0.61578947368421055</c:v>
                </c:pt>
                <c:pt idx="3">
                  <c:v>0.88888888888888884</c:v>
                </c:pt>
                <c:pt idx="4">
                  <c:v>0.54849785407725327</c:v>
                </c:pt>
                <c:pt idx="5">
                  <c:v>0.92380952380952386</c:v>
                </c:pt>
                <c:pt idx="6">
                  <c:v>0.92238805970149251</c:v>
                </c:pt>
                <c:pt idx="7">
                  <c:v>0.81176470588235294</c:v>
                </c:pt>
                <c:pt idx="8">
                  <c:v>0.7</c:v>
                </c:pt>
              </c:numCache>
            </c:numRef>
          </c:val>
          <c:extLst>
            <c:ext xmlns:c16="http://schemas.microsoft.com/office/drawing/2014/chart" uri="{C3380CC4-5D6E-409C-BE32-E72D297353CC}">
              <c16:uniqueId val="{00000000-6AE7-4C33-85B1-AE8E6106742F}"/>
            </c:ext>
          </c:extLst>
        </c:ser>
        <c:dLbls>
          <c:showLegendKey val="0"/>
          <c:showVal val="0"/>
          <c:showCatName val="0"/>
          <c:showSerName val="0"/>
          <c:showPercent val="0"/>
          <c:showBubbleSize val="0"/>
        </c:dLbls>
        <c:gapWidth val="50"/>
        <c:axId val="581635231"/>
        <c:axId val="581638591"/>
      </c:barChart>
      <c:catAx>
        <c:axId val="58163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416E"/>
                </a:solidFill>
                <a:latin typeface="Arial Nova Cond" panose="020B0506020202020204" pitchFamily="34" charset="0"/>
                <a:ea typeface="+mn-ea"/>
                <a:cs typeface="+mn-cs"/>
              </a:defRPr>
            </a:pPr>
            <a:endParaRPr lang="en-US"/>
          </a:p>
        </c:txPr>
        <c:crossAx val="581638591"/>
        <c:crosses val="autoZero"/>
        <c:auto val="1"/>
        <c:lblAlgn val="ctr"/>
        <c:lblOffset val="100"/>
        <c:noMultiLvlLbl val="0"/>
      </c:catAx>
      <c:valAx>
        <c:axId val="581638591"/>
        <c:scaling>
          <c:orientation val="minMax"/>
        </c:scaling>
        <c:delete val="1"/>
        <c:axPos val="l"/>
        <c:numFmt formatCode="0%" sourceLinked="1"/>
        <c:majorTickMark val="none"/>
        <c:minorTickMark val="none"/>
        <c:tickLblPos val="nextTo"/>
        <c:crossAx val="581635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100000">
          <a:schemeClr val="bg1"/>
        </a:gs>
        <a:gs pos="0">
          <a:srgbClr val="F8D528"/>
        </a:gs>
      </a:gsLst>
      <a:lin ang="10800000" scaled="0"/>
    </a:gradFill>
    <a:ln w="9525" cap="flat" cmpd="sng" algn="ctr">
      <a:solidFill>
        <a:srgbClr val="E6325A"/>
      </a:solidFill>
      <a:round/>
    </a:ln>
    <a:effectLst>
      <a:outerShdw dist="88900" dir="2700000" algn="tl" rotWithShape="0">
        <a:srgbClr val="E6325A"/>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[Learning and Development Dashboard Project.xlsm]Pivots!Pvt_Status</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Arial Nova Cond" panose="020B0506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6325A"/>
          </a:solidFill>
          <a:ln w="19050">
            <a:solidFill>
              <a:schemeClr val="lt1"/>
            </a:solidFill>
          </a:ln>
          <a:effectLst/>
        </c:spPr>
      </c:pivotFmt>
      <c:pivotFmt>
        <c:idx val="7"/>
        <c:spPr>
          <a:solidFill>
            <a:srgbClr val="F8D528"/>
          </a:solidFill>
          <a:ln w="19050">
            <a:solidFill>
              <a:schemeClr val="lt1"/>
            </a:solidFill>
          </a:ln>
          <a:effectLst/>
        </c:spPr>
      </c:pivotFmt>
      <c:pivotFmt>
        <c:idx val="8"/>
        <c:spPr>
          <a:solidFill>
            <a:srgbClr val="4BC896"/>
          </a:solidFill>
          <a:ln w="19050">
            <a:solidFill>
              <a:schemeClr val="lt1"/>
            </a:solidFill>
          </a:ln>
          <a:effectLst/>
        </c:spPr>
      </c:pivotFmt>
    </c:pivotFmts>
    <c:plotArea>
      <c:layout/>
      <c:doughnutChart>
        <c:varyColors val="1"/>
        <c:ser>
          <c:idx val="0"/>
          <c:order val="0"/>
          <c:tx>
            <c:strRef>
              <c:f>Pivots!$Z$1:$Z$2</c:f>
              <c:strCache>
                <c:ptCount val="1"/>
                <c:pt idx="0">
                  <c:v>Total</c:v>
                </c:pt>
              </c:strCache>
            </c:strRef>
          </c:tx>
          <c:dPt>
            <c:idx val="0"/>
            <c:bubble3D val="0"/>
            <c:spPr>
              <a:solidFill>
                <a:srgbClr val="E6325A"/>
              </a:solidFill>
              <a:ln w="19050">
                <a:solidFill>
                  <a:schemeClr val="lt1"/>
                </a:solidFill>
              </a:ln>
              <a:effectLst/>
            </c:spPr>
            <c:extLst>
              <c:ext xmlns:c16="http://schemas.microsoft.com/office/drawing/2014/chart" uri="{C3380CC4-5D6E-409C-BE32-E72D297353CC}">
                <c16:uniqueId val="{00000001-7AAF-4801-AE1F-67042ACB081C}"/>
              </c:ext>
            </c:extLst>
          </c:dPt>
          <c:dPt>
            <c:idx val="1"/>
            <c:bubble3D val="0"/>
            <c:spPr>
              <a:solidFill>
                <a:srgbClr val="F8D528"/>
              </a:solidFill>
              <a:ln w="19050">
                <a:solidFill>
                  <a:schemeClr val="lt1"/>
                </a:solidFill>
              </a:ln>
              <a:effectLst/>
            </c:spPr>
            <c:extLst>
              <c:ext xmlns:c16="http://schemas.microsoft.com/office/drawing/2014/chart" uri="{C3380CC4-5D6E-409C-BE32-E72D297353CC}">
                <c16:uniqueId val="{00000003-7AAF-4801-AE1F-67042ACB081C}"/>
              </c:ext>
            </c:extLst>
          </c:dPt>
          <c:dPt>
            <c:idx val="2"/>
            <c:bubble3D val="0"/>
            <c:spPr>
              <a:solidFill>
                <a:srgbClr val="4BC896"/>
              </a:solidFill>
              <a:ln w="19050">
                <a:solidFill>
                  <a:schemeClr val="lt1"/>
                </a:solidFill>
              </a:ln>
              <a:effectLst/>
            </c:spPr>
            <c:extLst>
              <c:ext xmlns:c16="http://schemas.microsoft.com/office/drawing/2014/chart" uri="{C3380CC4-5D6E-409C-BE32-E72D297353CC}">
                <c16:uniqueId val="{00000005-7AAF-4801-AE1F-67042ACB081C}"/>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Arial Nova Cond" panose="020B0506020202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Pivots!$Y$3:$Y$6</c:f>
              <c:strCache>
                <c:ptCount val="3"/>
                <c:pt idx="0">
                  <c:v>&lt;80%</c:v>
                </c:pt>
                <c:pt idx="1">
                  <c:v>&gt;100%</c:v>
                </c:pt>
                <c:pt idx="2">
                  <c:v>80-100%</c:v>
                </c:pt>
              </c:strCache>
            </c:strRef>
          </c:cat>
          <c:val>
            <c:numRef>
              <c:f>Pivots!$Z$3:$Z$6</c:f>
              <c:numCache>
                <c:formatCode>General</c:formatCode>
                <c:ptCount val="3"/>
                <c:pt idx="0">
                  <c:v>64</c:v>
                </c:pt>
                <c:pt idx="1">
                  <c:v>15</c:v>
                </c:pt>
                <c:pt idx="2">
                  <c:v>17</c:v>
                </c:pt>
              </c:numCache>
            </c:numRef>
          </c:val>
          <c:extLst>
            <c:ext xmlns:c16="http://schemas.microsoft.com/office/drawing/2014/chart" uri="{C3380CC4-5D6E-409C-BE32-E72D297353CC}">
              <c16:uniqueId val="{00000006-7AAF-4801-AE1F-67042ACB081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714800919254571"/>
          <c:y val="0.294253554249369"/>
          <c:w val="0.30800708203972865"/>
          <c:h val="0.41149289150126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Arial Nova Cond" panose="020B0506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Pivots!$AG$2</c:f>
              <c:strCache>
                <c:ptCount val="1"/>
                <c:pt idx="0">
                  <c:v>&gt;=100</c:v>
                </c:pt>
              </c:strCache>
            </c:strRef>
          </c:tx>
          <c:spPr>
            <a:gradFill>
              <a:gsLst>
                <a:gs pos="0">
                  <a:schemeClr val="bg1"/>
                </a:gs>
                <a:gs pos="100000">
                  <a:srgbClr val="4BC896"/>
                </a:gs>
              </a:gsLst>
              <a:lin ang="0" scaled="0"/>
            </a:gradFill>
            <a:ln>
              <a:noFill/>
            </a:ln>
            <a:effectLst>
              <a:outerShdw blurRad="50800" dist="38100" dir="2700000" algn="tl" rotWithShape="0">
                <a:prstClr val="black">
                  <a:alpha val="40000"/>
                </a:prstClr>
              </a:outerShdw>
            </a:effectLst>
          </c:spPr>
          <c:invertIfNegative val="0"/>
          <c:cat>
            <c:strRef>
              <c:f>Pivots!$AE$3:$AE$12</c:f>
              <c:strCache>
                <c:ptCount val="10"/>
                <c:pt idx="0">
                  <c:v>Emplyee003</c:v>
                </c:pt>
                <c:pt idx="1">
                  <c:v>Emplyee004</c:v>
                </c:pt>
                <c:pt idx="2">
                  <c:v>Emplyee005</c:v>
                </c:pt>
                <c:pt idx="3">
                  <c:v>Emplyee006</c:v>
                </c:pt>
                <c:pt idx="4">
                  <c:v>Emplyee007</c:v>
                </c:pt>
                <c:pt idx="5">
                  <c:v>Emplyee008</c:v>
                </c:pt>
                <c:pt idx="6">
                  <c:v>Emplyee009</c:v>
                </c:pt>
                <c:pt idx="7">
                  <c:v>Emplyee010</c:v>
                </c:pt>
                <c:pt idx="8">
                  <c:v>Emplyee011</c:v>
                </c:pt>
                <c:pt idx="9">
                  <c:v>Emplyee012</c:v>
                </c:pt>
              </c:strCache>
            </c:strRef>
          </c:cat>
          <c:val>
            <c:numRef>
              <c:f>Pivots!$AG$3:$AG$12</c:f>
              <c:numCache>
                <c:formatCode>0%</c:formatCode>
                <c:ptCount val="10"/>
                <c:pt idx="0">
                  <c:v>0</c:v>
                </c:pt>
                <c:pt idx="1">
                  <c:v>1.05</c:v>
                </c:pt>
                <c:pt idx="2">
                  <c:v>0</c:v>
                </c:pt>
                <c:pt idx="3">
                  <c:v>0</c:v>
                </c:pt>
                <c:pt idx="4">
                  <c:v>0</c:v>
                </c:pt>
                <c:pt idx="5">
                  <c:v>0</c:v>
                </c:pt>
                <c:pt idx="6">
                  <c:v>0</c:v>
                </c:pt>
                <c:pt idx="7">
                  <c:v>1</c:v>
                </c:pt>
                <c:pt idx="8">
                  <c:v>0</c:v>
                </c:pt>
                <c:pt idx="9">
                  <c:v>0</c:v>
                </c:pt>
              </c:numCache>
            </c:numRef>
          </c:val>
          <c:extLst>
            <c:ext xmlns:c16="http://schemas.microsoft.com/office/drawing/2014/chart" uri="{C3380CC4-5D6E-409C-BE32-E72D297353CC}">
              <c16:uniqueId val="{00000000-A2A6-469B-88A9-D64ACA885F68}"/>
            </c:ext>
          </c:extLst>
        </c:ser>
        <c:ser>
          <c:idx val="1"/>
          <c:order val="1"/>
          <c:tx>
            <c:strRef>
              <c:f>Pivots!$AH$2</c:f>
              <c:strCache>
                <c:ptCount val="1"/>
                <c:pt idx="0">
                  <c:v>80%-100%</c:v>
                </c:pt>
              </c:strCache>
            </c:strRef>
          </c:tx>
          <c:spPr>
            <a:gradFill>
              <a:gsLst>
                <a:gs pos="0">
                  <a:schemeClr val="bg1"/>
                </a:gs>
                <a:gs pos="100000">
                  <a:srgbClr val="F8D528"/>
                </a:gs>
              </a:gsLst>
              <a:lin ang="0" scaled="0"/>
            </a:gradFill>
            <a:ln>
              <a:noFill/>
            </a:ln>
            <a:effectLst>
              <a:outerShdw blurRad="50800" dist="38100" dir="2700000" algn="tl" rotWithShape="0">
                <a:prstClr val="black">
                  <a:alpha val="40000"/>
                </a:prstClr>
              </a:outerShdw>
            </a:effectLst>
          </c:spPr>
          <c:invertIfNegative val="0"/>
          <c:cat>
            <c:strRef>
              <c:f>Pivots!$AE$3:$AE$12</c:f>
              <c:strCache>
                <c:ptCount val="10"/>
                <c:pt idx="0">
                  <c:v>Emplyee003</c:v>
                </c:pt>
                <c:pt idx="1">
                  <c:v>Emplyee004</c:v>
                </c:pt>
                <c:pt idx="2">
                  <c:v>Emplyee005</c:v>
                </c:pt>
                <c:pt idx="3">
                  <c:v>Emplyee006</c:v>
                </c:pt>
                <c:pt idx="4">
                  <c:v>Emplyee007</c:v>
                </c:pt>
                <c:pt idx="5">
                  <c:v>Emplyee008</c:v>
                </c:pt>
                <c:pt idx="6">
                  <c:v>Emplyee009</c:v>
                </c:pt>
                <c:pt idx="7">
                  <c:v>Emplyee010</c:v>
                </c:pt>
                <c:pt idx="8">
                  <c:v>Emplyee011</c:v>
                </c:pt>
                <c:pt idx="9">
                  <c:v>Emplyee012</c:v>
                </c:pt>
              </c:strCache>
            </c:strRef>
          </c:cat>
          <c:val>
            <c:numRef>
              <c:f>Pivots!$AH$3:$AH$12</c:f>
              <c:numCache>
                <c:formatCode>0%</c:formatCode>
                <c:ptCount val="10"/>
                <c:pt idx="0">
                  <c:v>0</c:v>
                </c:pt>
                <c:pt idx="1">
                  <c:v>0</c:v>
                </c:pt>
                <c:pt idx="2">
                  <c:v>0.82857142857142863</c:v>
                </c:pt>
                <c:pt idx="3">
                  <c:v>0</c:v>
                </c:pt>
                <c:pt idx="4">
                  <c:v>0</c:v>
                </c:pt>
                <c:pt idx="5">
                  <c:v>0.88</c:v>
                </c:pt>
                <c:pt idx="6">
                  <c:v>0</c:v>
                </c:pt>
                <c:pt idx="7">
                  <c:v>0</c:v>
                </c:pt>
                <c:pt idx="8">
                  <c:v>0</c:v>
                </c:pt>
                <c:pt idx="9">
                  <c:v>0</c:v>
                </c:pt>
              </c:numCache>
            </c:numRef>
          </c:val>
          <c:extLst>
            <c:ext xmlns:c16="http://schemas.microsoft.com/office/drawing/2014/chart" uri="{C3380CC4-5D6E-409C-BE32-E72D297353CC}">
              <c16:uniqueId val="{00000001-A2A6-469B-88A9-D64ACA885F68}"/>
            </c:ext>
          </c:extLst>
        </c:ser>
        <c:ser>
          <c:idx val="2"/>
          <c:order val="2"/>
          <c:tx>
            <c:strRef>
              <c:f>Pivots!$AI$2</c:f>
              <c:strCache>
                <c:ptCount val="1"/>
                <c:pt idx="0">
                  <c:v>&lt;80%</c:v>
                </c:pt>
              </c:strCache>
            </c:strRef>
          </c:tx>
          <c:spPr>
            <a:gradFill>
              <a:gsLst>
                <a:gs pos="0">
                  <a:schemeClr val="bg1"/>
                </a:gs>
                <a:gs pos="100000">
                  <a:srgbClr val="E6325A"/>
                </a:gs>
              </a:gsLst>
              <a:lin ang="0" scaled="0"/>
            </a:gradFill>
            <a:ln>
              <a:noFill/>
            </a:ln>
            <a:effectLst>
              <a:outerShdw blurRad="50800" dist="38100" dir="2700000" algn="tl" rotWithShape="0">
                <a:prstClr val="black">
                  <a:alpha val="40000"/>
                </a:prstClr>
              </a:outerShdw>
            </a:effectLst>
          </c:spPr>
          <c:invertIfNegative val="0"/>
          <c:dLbls>
            <c:dLbl>
              <c:idx val="0"/>
              <c:tx>
                <c:rich>
                  <a:bodyPr/>
                  <a:lstStyle/>
                  <a:p>
                    <a:fld id="{56F9BCCC-7F1F-476D-8546-D4DE36B03BF6}"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2A6-469B-88A9-D64ACA885F68}"/>
                </c:ext>
              </c:extLst>
            </c:dLbl>
            <c:dLbl>
              <c:idx val="1"/>
              <c:tx>
                <c:rich>
                  <a:bodyPr/>
                  <a:lstStyle/>
                  <a:p>
                    <a:fld id="{57396A36-6F70-4E76-AB6A-840144D81276}"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2A6-469B-88A9-D64ACA885F68}"/>
                </c:ext>
              </c:extLst>
            </c:dLbl>
            <c:dLbl>
              <c:idx val="2"/>
              <c:tx>
                <c:rich>
                  <a:bodyPr/>
                  <a:lstStyle/>
                  <a:p>
                    <a:fld id="{C858B60C-9645-4BF1-9D3B-4AABD1A93BB4}"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2A6-469B-88A9-D64ACA885F68}"/>
                </c:ext>
              </c:extLst>
            </c:dLbl>
            <c:dLbl>
              <c:idx val="3"/>
              <c:tx>
                <c:rich>
                  <a:bodyPr/>
                  <a:lstStyle/>
                  <a:p>
                    <a:fld id="{ACC57EDC-4D9A-4F23-8DA2-4BECBD2EB7C9}"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2A6-469B-88A9-D64ACA885F68}"/>
                </c:ext>
              </c:extLst>
            </c:dLbl>
            <c:dLbl>
              <c:idx val="4"/>
              <c:tx>
                <c:rich>
                  <a:bodyPr/>
                  <a:lstStyle/>
                  <a:p>
                    <a:fld id="{C176B272-87D1-4352-AAE3-E71BF346D75C}"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2A6-469B-88A9-D64ACA885F68}"/>
                </c:ext>
              </c:extLst>
            </c:dLbl>
            <c:dLbl>
              <c:idx val="5"/>
              <c:tx>
                <c:rich>
                  <a:bodyPr/>
                  <a:lstStyle/>
                  <a:p>
                    <a:fld id="{EB38F5BD-F7B0-414E-ADE9-80561D093E03}"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2A6-469B-88A9-D64ACA885F68}"/>
                </c:ext>
              </c:extLst>
            </c:dLbl>
            <c:dLbl>
              <c:idx val="6"/>
              <c:tx>
                <c:rich>
                  <a:bodyPr/>
                  <a:lstStyle/>
                  <a:p>
                    <a:fld id="{DF46B1FA-3173-446C-B75F-5AA8A08A09F4}"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2A6-469B-88A9-D64ACA885F68}"/>
                </c:ext>
              </c:extLst>
            </c:dLbl>
            <c:dLbl>
              <c:idx val="7"/>
              <c:tx>
                <c:rich>
                  <a:bodyPr/>
                  <a:lstStyle/>
                  <a:p>
                    <a:fld id="{910E6C37-7E48-4AA3-8424-68B0D3723A52}"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2A6-469B-88A9-D64ACA885F68}"/>
                </c:ext>
              </c:extLst>
            </c:dLbl>
            <c:dLbl>
              <c:idx val="8"/>
              <c:tx>
                <c:rich>
                  <a:bodyPr/>
                  <a:lstStyle/>
                  <a:p>
                    <a:fld id="{CBD9995C-868D-48A4-9075-F611A3C2CBD3}"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2A6-469B-88A9-D64ACA885F68}"/>
                </c:ext>
              </c:extLst>
            </c:dLbl>
            <c:dLbl>
              <c:idx val="9"/>
              <c:tx>
                <c:rich>
                  <a:bodyPr/>
                  <a:lstStyle/>
                  <a:p>
                    <a:fld id="{5488FEEB-A44F-4544-B36E-EE56BF790A0C}"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2A6-469B-88A9-D64ACA885F68}"/>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416E"/>
                    </a:solidFill>
                    <a:latin typeface="Arial Nova Cond" panose="020B0506020202020204" pitchFamily="34" charset="0"/>
                    <a:ea typeface="+mn-ea"/>
                    <a:cs typeface="+mn-cs"/>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Pivots!$AE$3:$AE$12</c:f>
              <c:strCache>
                <c:ptCount val="10"/>
                <c:pt idx="0">
                  <c:v>Emplyee003</c:v>
                </c:pt>
                <c:pt idx="1">
                  <c:v>Emplyee004</c:v>
                </c:pt>
                <c:pt idx="2">
                  <c:v>Emplyee005</c:v>
                </c:pt>
                <c:pt idx="3">
                  <c:v>Emplyee006</c:v>
                </c:pt>
                <c:pt idx="4">
                  <c:v>Emplyee007</c:v>
                </c:pt>
                <c:pt idx="5">
                  <c:v>Emplyee008</c:v>
                </c:pt>
                <c:pt idx="6">
                  <c:v>Emplyee009</c:v>
                </c:pt>
                <c:pt idx="7">
                  <c:v>Emplyee010</c:v>
                </c:pt>
                <c:pt idx="8">
                  <c:v>Emplyee011</c:v>
                </c:pt>
                <c:pt idx="9">
                  <c:v>Emplyee012</c:v>
                </c:pt>
              </c:strCache>
            </c:strRef>
          </c:cat>
          <c:val>
            <c:numRef>
              <c:f>Pivots!$AI$3:$AI$12</c:f>
              <c:numCache>
                <c:formatCode>0%</c:formatCode>
                <c:ptCount val="10"/>
                <c:pt idx="0">
                  <c:v>0.52500000000000002</c:v>
                </c:pt>
                <c:pt idx="1">
                  <c:v>0</c:v>
                </c:pt>
                <c:pt idx="2">
                  <c:v>0</c:v>
                </c:pt>
                <c:pt idx="3">
                  <c:v>0.7</c:v>
                </c:pt>
                <c:pt idx="4">
                  <c:v>0.36</c:v>
                </c:pt>
                <c:pt idx="5">
                  <c:v>0</c:v>
                </c:pt>
                <c:pt idx="6">
                  <c:v>0.4</c:v>
                </c:pt>
                <c:pt idx="7">
                  <c:v>0</c:v>
                </c:pt>
                <c:pt idx="8">
                  <c:v>0.5714285714285714</c:v>
                </c:pt>
                <c:pt idx="9">
                  <c:v>0.4</c:v>
                </c:pt>
              </c:numCache>
            </c:numRef>
          </c:val>
          <c:extLst>
            <c:ext xmlns:c15="http://schemas.microsoft.com/office/drawing/2012/chart" uri="{02D57815-91ED-43cb-92C2-25804820EDAC}">
              <c15:datalabelsRange>
                <c15:f>Pivots!$AF$3:$AF$12</c15:f>
                <c15:dlblRangeCache>
                  <c:ptCount val="10"/>
                  <c:pt idx="0">
                    <c:v>53%</c:v>
                  </c:pt>
                  <c:pt idx="1">
                    <c:v>105%</c:v>
                  </c:pt>
                  <c:pt idx="2">
                    <c:v>83%</c:v>
                  </c:pt>
                  <c:pt idx="3">
                    <c:v>70%</c:v>
                  </c:pt>
                  <c:pt idx="4">
                    <c:v>36%</c:v>
                  </c:pt>
                  <c:pt idx="5">
                    <c:v>88%</c:v>
                  </c:pt>
                  <c:pt idx="6">
                    <c:v>40%</c:v>
                  </c:pt>
                  <c:pt idx="7">
                    <c:v>100%</c:v>
                  </c:pt>
                  <c:pt idx="8">
                    <c:v>57%</c:v>
                  </c:pt>
                  <c:pt idx="9">
                    <c:v>40%</c:v>
                  </c:pt>
                </c15:dlblRangeCache>
              </c15:datalabelsRange>
            </c:ext>
            <c:ext xmlns:c16="http://schemas.microsoft.com/office/drawing/2014/chart" uri="{C3380CC4-5D6E-409C-BE32-E72D297353CC}">
              <c16:uniqueId val="{00000002-A2A6-469B-88A9-D64ACA885F68}"/>
            </c:ext>
          </c:extLst>
        </c:ser>
        <c:dLbls>
          <c:showLegendKey val="0"/>
          <c:showVal val="0"/>
          <c:showCatName val="0"/>
          <c:showSerName val="0"/>
          <c:showPercent val="0"/>
          <c:showBubbleSize val="0"/>
        </c:dLbls>
        <c:gapWidth val="50"/>
        <c:overlap val="100"/>
        <c:axId val="581675551"/>
        <c:axId val="581678431"/>
      </c:barChart>
      <c:catAx>
        <c:axId val="581675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00416E"/>
                </a:solidFill>
                <a:latin typeface="Arial Nova Cond" panose="020B0506020202020204" pitchFamily="34" charset="0"/>
                <a:ea typeface="+mn-ea"/>
                <a:cs typeface="+mn-cs"/>
              </a:defRPr>
            </a:pPr>
            <a:endParaRPr lang="en-US"/>
          </a:p>
        </c:txPr>
        <c:crossAx val="581678431"/>
        <c:crosses val="autoZero"/>
        <c:auto val="1"/>
        <c:lblAlgn val="ctr"/>
        <c:lblOffset val="100"/>
        <c:noMultiLvlLbl val="0"/>
      </c:catAx>
      <c:valAx>
        <c:axId val="581678431"/>
        <c:scaling>
          <c:orientation val="minMax"/>
        </c:scaling>
        <c:delete val="1"/>
        <c:axPos val="b"/>
        <c:numFmt formatCode="0%" sourceLinked="1"/>
        <c:majorTickMark val="none"/>
        <c:minorTickMark val="none"/>
        <c:tickLblPos val="nextTo"/>
        <c:crossAx val="5816755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atin typeface="Arial Nova Cond" panose="020B0506020202020204" pitchFamily="34"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00000000-D70C-41D7-8196-3907BF3DBEE9}">
          <cx:tx>
            <cx:txData>
              <cx:f>_xlchart.v1.1</cx:f>
              <cx:v>Value</cx:v>
            </cx:txData>
          </cx:tx>
          <cx:dataPt idx="0">
            <cx:spPr>
              <a:solidFill>
                <a:srgbClr val="E6325A"/>
              </a:solidFill>
            </cx:spPr>
          </cx:dataPt>
          <cx:dataPt idx="1">
            <cx:spPr>
              <a:solidFill>
                <a:srgbClr val="4BC896"/>
              </a:solidFill>
            </cx:spPr>
          </cx:dataPt>
          <cx:dataPt idx="2">
            <cx:spPr>
              <a:solidFill>
                <a:srgbClr val="004B78"/>
              </a:solidFill>
            </cx:spPr>
          </cx:dataPt>
          <cx:dataPt idx="4">
            <cx:spPr>
              <a:solidFill>
                <a:srgbClr val="00416E"/>
              </a:solidFill>
            </cx:spPr>
          </cx:dataPt>
          <cx:dataPt idx="5">
            <cx:spPr>
              <a:solidFill>
                <a:srgbClr val="007896"/>
              </a:solidFill>
            </cx:spPr>
          </cx:dataPt>
          <cx:dataPt idx="6">
            <cx:spPr>
              <a:solidFill>
                <a:srgbClr val="F8D528"/>
              </a:solidFill>
            </cx:spPr>
          </cx:dataPt>
          <cx:dataPt idx="7">
            <cx:spPr>
              <a:solidFill>
                <a:srgbClr val="96C8E6"/>
              </a:solidFill>
            </cx:spPr>
          </cx:dataPt>
          <cx:dataPt idx="8">
            <cx:spPr>
              <a:solidFill>
                <a:srgbClr val="5AE6E6"/>
              </a:solidFill>
            </cx:spPr>
          </cx:dataPt>
          <cx:dataLabels pos="inEnd">
            <cx:numFmt formatCode="#,##0.00" sourceLinked="0"/>
            <cx:txPr>
              <a:bodyPr vertOverflow="overflow" horzOverflow="overflow" wrap="square" lIns="0" tIns="0" rIns="0" bIns="0"/>
              <a:lstStyle/>
              <a:p>
                <a:pPr algn="ctr" rtl="0">
                  <a:defRPr sz="900" b="0" i="0">
                    <a:solidFill>
                      <a:srgbClr val="FFFFFF"/>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a:latin typeface="Segoe UI Semibold" panose="020B0702040204020203" pitchFamily="34" charset="0"/>
                  <a:cs typeface="Segoe UI Semibold" panose="020B0702040204020203" pitchFamily="34" charset="0"/>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Master Data'!$F$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Scroll" dx="22" fmlaLink="Pivots!$AE$1" max="100" min="1" page="10" val="3"/>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fmlaLink="'Master Data'!$Q$1" lockText="1" noThreeD="1"/>
</file>

<file path=xl/ctrlProps/ctrlProp7.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30.png"/><Relationship Id="rId13" Type="http://schemas.openxmlformats.org/officeDocument/2006/relationships/image" Target="../media/image35.svg"/><Relationship Id="rId18" Type="http://schemas.openxmlformats.org/officeDocument/2006/relationships/image" Target="../media/image40.png"/><Relationship Id="rId26" Type="http://schemas.openxmlformats.org/officeDocument/2006/relationships/chart" Target="../charts/chart5.xml"/><Relationship Id="rId3" Type="http://schemas.openxmlformats.org/officeDocument/2006/relationships/image" Target="../media/image25.svg"/><Relationship Id="rId21" Type="http://schemas.openxmlformats.org/officeDocument/2006/relationships/image" Target="../media/image20.svg"/><Relationship Id="rId7" Type="http://schemas.openxmlformats.org/officeDocument/2006/relationships/image" Target="../media/image29.svg"/><Relationship Id="rId12" Type="http://schemas.openxmlformats.org/officeDocument/2006/relationships/image" Target="../media/image34.png"/><Relationship Id="rId17" Type="http://schemas.openxmlformats.org/officeDocument/2006/relationships/image" Target="../media/image39.svg"/><Relationship Id="rId25" Type="http://schemas.openxmlformats.org/officeDocument/2006/relationships/chart" Target="../charts/chart4.xml"/><Relationship Id="rId2" Type="http://schemas.openxmlformats.org/officeDocument/2006/relationships/image" Target="../media/image24.png"/><Relationship Id="rId16" Type="http://schemas.openxmlformats.org/officeDocument/2006/relationships/image" Target="../media/image38.png"/><Relationship Id="rId20" Type="http://schemas.openxmlformats.org/officeDocument/2006/relationships/image" Target="../media/image19.png"/><Relationship Id="rId1" Type="http://schemas.openxmlformats.org/officeDocument/2006/relationships/image" Target="../media/image23.png"/><Relationship Id="rId6" Type="http://schemas.openxmlformats.org/officeDocument/2006/relationships/image" Target="../media/image28.png"/><Relationship Id="rId11" Type="http://schemas.openxmlformats.org/officeDocument/2006/relationships/image" Target="../media/image33.svg"/><Relationship Id="rId24" Type="http://schemas.openxmlformats.org/officeDocument/2006/relationships/chart" Target="../charts/chart3.xml"/><Relationship Id="rId5" Type="http://schemas.openxmlformats.org/officeDocument/2006/relationships/image" Target="../media/image27.svg"/><Relationship Id="rId15" Type="http://schemas.openxmlformats.org/officeDocument/2006/relationships/image" Target="../media/image37.svg"/><Relationship Id="rId23" Type="http://schemas.openxmlformats.org/officeDocument/2006/relationships/chart" Target="../charts/chart2.xml"/><Relationship Id="rId28" Type="http://schemas.microsoft.com/office/2014/relationships/chartEx" Target="../charts/chartEx1.xml"/><Relationship Id="rId10" Type="http://schemas.openxmlformats.org/officeDocument/2006/relationships/image" Target="../media/image32.png"/><Relationship Id="rId19" Type="http://schemas.openxmlformats.org/officeDocument/2006/relationships/image" Target="../media/image41.svg"/><Relationship Id="rId4" Type="http://schemas.openxmlformats.org/officeDocument/2006/relationships/image" Target="../media/image26.png"/><Relationship Id="rId9" Type="http://schemas.openxmlformats.org/officeDocument/2006/relationships/image" Target="../media/image31.svg"/><Relationship Id="rId14" Type="http://schemas.openxmlformats.org/officeDocument/2006/relationships/image" Target="../media/image36.png"/><Relationship Id="rId22" Type="http://schemas.openxmlformats.org/officeDocument/2006/relationships/chart" Target="../charts/chart1.xml"/><Relationship Id="rId27"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4</xdr:col>
      <xdr:colOff>142844</xdr:colOff>
      <xdr:row>1</xdr:row>
      <xdr:rowOff>106569</xdr:rowOff>
    </xdr:from>
    <xdr:to>
      <xdr:col>5</xdr:col>
      <xdr:colOff>253243</xdr:colOff>
      <xdr:row>5</xdr:row>
      <xdr:rowOff>95050</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2571719" y="297069"/>
          <a:ext cx="717618" cy="750481"/>
          <a:chOff x="2657328" y="1481333"/>
          <a:chExt cx="713951" cy="724839"/>
        </a:xfrm>
      </xdr:grpSpPr>
      <xdr:sp macro="" textlink="">
        <xdr:nvSpPr>
          <xdr:cNvPr id="5" name="Oval 4">
            <a:extLst>
              <a:ext uri="{FF2B5EF4-FFF2-40B4-BE49-F238E27FC236}">
                <a16:creationId xmlns:a16="http://schemas.microsoft.com/office/drawing/2014/main" id="{00000000-0008-0000-0000-000005000000}"/>
              </a:ext>
            </a:extLst>
          </xdr:cNvPr>
          <xdr:cNvSpPr/>
        </xdr:nvSpPr>
        <xdr:spPr>
          <a:xfrm>
            <a:off x="2657328" y="1481333"/>
            <a:ext cx="713951" cy="72483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Nova Cond" panose="020B0506020202020204" pitchFamily="34" charset="0"/>
            </a:endParaRPr>
          </a:p>
        </xdr:txBody>
      </xdr:sp>
      <xdr:pic>
        <xdr:nvPicPr>
          <xdr:cNvPr id="6" name="Graphic 5" descr="Medal with solid fill">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747327" y="1571333"/>
            <a:ext cx="540000" cy="540000"/>
          </a:xfrm>
          <a:prstGeom prst="rect">
            <a:avLst/>
          </a:prstGeom>
        </xdr:spPr>
      </xdr:pic>
    </xdr:grpSp>
    <xdr:clientData/>
  </xdr:twoCellAnchor>
  <xdr:twoCellAnchor>
    <xdr:from>
      <xdr:col>8</xdr:col>
      <xdr:colOff>1330</xdr:colOff>
      <xdr:row>1</xdr:row>
      <xdr:rowOff>30369</xdr:rowOff>
    </xdr:from>
    <xdr:to>
      <xdr:col>9</xdr:col>
      <xdr:colOff>105681</xdr:colOff>
      <xdr:row>5</xdr:row>
      <xdr:rowOff>18850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4859080" y="220869"/>
          <a:ext cx="711570" cy="750481"/>
          <a:chOff x="8296128" y="1459561"/>
          <a:chExt cx="713951" cy="724839"/>
        </a:xfrm>
      </xdr:grpSpPr>
      <xdr:sp macro="" textlink="">
        <xdr:nvSpPr>
          <xdr:cNvPr id="8" name="Oval 7">
            <a:extLst>
              <a:ext uri="{FF2B5EF4-FFF2-40B4-BE49-F238E27FC236}">
                <a16:creationId xmlns:a16="http://schemas.microsoft.com/office/drawing/2014/main" id="{00000000-0008-0000-0000-000008000000}"/>
              </a:ext>
            </a:extLst>
          </xdr:cNvPr>
          <xdr:cNvSpPr/>
        </xdr:nvSpPr>
        <xdr:spPr>
          <a:xfrm>
            <a:off x="8296128" y="1459561"/>
            <a:ext cx="713951" cy="72483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Nova Cond" panose="020B0506020202020204" pitchFamily="34" charset="0"/>
            </a:endParaRPr>
          </a:p>
        </xdr:txBody>
      </xdr:sp>
      <xdr:pic>
        <xdr:nvPicPr>
          <xdr:cNvPr id="9" name="Graphic 8" descr="Podium with solid fill">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383103" y="1549561"/>
            <a:ext cx="540000" cy="544838"/>
          </a:xfrm>
          <a:prstGeom prst="rect">
            <a:avLst/>
          </a:prstGeom>
        </xdr:spPr>
      </xdr:pic>
    </xdr:grpSp>
    <xdr:clientData/>
  </xdr:twoCellAnchor>
  <xdr:twoCellAnchor editAs="oneCell">
    <xdr:from>
      <xdr:col>7</xdr:col>
      <xdr:colOff>11990</xdr:colOff>
      <xdr:row>7</xdr:row>
      <xdr:rowOff>83820</xdr:rowOff>
    </xdr:from>
    <xdr:to>
      <xdr:col>7</xdr:col>
      <xdr:colOff>268892</xdr:colOff>
      <xdr:row>8</xdr:row>
      <xdr:rowOff>151670</xdr:rowOff>
    </xdr:to>
    <xdr:pic>
      <xdr:nvPicPr>
        <xdr:cNvPr id="10" name="Graphic 9" descr="Bullseye with solid fill">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79190" y="1363980"/>
          <a:ext cx="256902" cy="250730"/>
        </a:xfrm>
        <a:prstGeom prst="rect">
          <a:avLst/>
        </a:prstGeom>
      </xdr:spPr>
    </xdr:pic>
    <xdr:clientData/>
  </xdr:twoCellAnchor>
  <xdr:twoCellAnchor editAs="oneCell">
    <xdr:from>
      <xdr:col>6</xdr:col>
      <xdr:colOff>180336</xdr:colOff>
      <xdr:row>7</xdr:row>
      <xdr:rowOff>91285</xdr:rowOff>
    </xdr:from>
    <xdr:to>
      <xdr:col>6</xdr:col>
      <xdr:colOff>447576</xdr:colOff>
      <xdr:row>8</xdr:row>
      <xdr:rowOff>160404</xdr:rowOff>
    </xdr:to>
    <xdr:pic>
      <xdr:nvPicPr>
        <xdr:cNvPr id="11" name="Graphic 10" descr="Target with solid fill">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37936" y="1371445"/>
          <a:ext cx="267240" cy="251999"/>
        </a:xfrm>
        <a:prstGeom prst="rect">
          <a:avLst/>
        </a:prstGeom>
      </xdr:spPr>
    </xdr:pic>
    <xdr:clientData/>
  </xdr:twoCellAnchor>
  <xdr:twoCellAnchor editAs="oneCell">
    <xdr:from>
      <xdr:col>7</xdr:col>
      <xdr:colOff>364904</xdr:colOff>
      <xdr:row>7</xdr:row>
      <xdr:rowOff>57429</xdr:rowOff>
    </xdr:from>
    <xdr:to>
      <xdr:col>8</xdr:col>
      <xdr:colOff>12384</xdr:colOff>
      <xdr:row>8</xdr:row>
      <xdr:rowOff>120200</xdr:rowOff>
    </xdr:to>
    <xdr:pic>
      <xdr:nvPicPr>
        <xdr:cNvPr id="12" name="Graphic 11" descr="Office worker female with solid fill">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632104" y="1337589"/>
          <a:ext cx="257080" cy="245651"/>
        </a:xfrm>
        <a:prstGeom prst="rect">
          <a:avLst/>
        </a:prstGeom>
      </xdr:spPr>
    </xdr:pic>
    <xdr:clientData/>
  </xdr:twoCellAnchor>
  <xdr:twoCellAnchor editAs="oneCell">
    <xdr:from>
      <xdr:col>4</xdr:col>
      <xdr:colOff>227174</xdr:colOff>
      <xdr:row>7</xdr:row>
      <xdr:rowOff>6906</xdr:rowOff>
    </xdr:from>
    <xdr:to>
      <xdr:col>4</xdr:col>
      <xdr:colOff>484076</xdr:colOff>
      <xdr:row>8</xdr:row>
      <xdr:rowOff>74757</xdr:rowOff>
    </xdr:to>
    <xdr:pic>
      <xdr:nvPicPr>
        <xdr:cNvPr id="13" name="Graphic 12" descr="Lecturer with solid fill">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665574" y="1287066"/>
          <a:ext cx="256902" cy="250731"/>
        </a:xfrm>
        <a:prstGeom prst="rect">
          <a:avLst/>
        </a:prstGeom>
      </xdr:spPr>
    </xdr:pic>
    <xdr:clientData/>
  </xdr:twoCellAnchor>
  <xdr:twoCellAnchor editAs="oneCell">
    <xdr:from>
      <xdr:col>5</xdr:col>
      <xdr:colOff>386076</xdr:colOff>
      <xdr:row>7</xdr:row>
      <xdr:rowOff>62521</xdr:rowOff>
    </xdr:from>
    <xdr:to>
      <xdr:col>6</xdr:col>
      <xdr:colOff>43716</xdr:colOff>
      <xdr:row>8</xdr:row>
      <xdr:rowOff>127833</xdr:rowOff>
    </xdr:to>
    <xdr:pic>
      <xdr:nvPicPr>
        <xdr:cNvPr id="14" name="Graphic 13" descr="Bar graph with upward trend with solid fill">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434076" y="1342681"/>
          <a:ext cx="267240" cy="248192"/>
        </a:xfrm>
        <a:prstGeom prst="rect">
          <a:avLst/>
        </a:prstGeom>
      </xdr:spPr>
    </xdr:pic>
    <xdr:clientData/>
  </xdr:twoCellAnchor>
  <xdr:twoCellAnchor editAs="oneCell">
    <xdr:from>
      <xdr:col>8</xdr:col>
      <xdr:colOff>123043</xdr:colOff>
      <xdr:row>6</xdr:row>
      <xdr:rowOff>167782</xdr:rowOff>
    </xdr:from>
    <xdr:to>
      <xdr:col>8</xdr:col>
      <xdr:colOff>375043</xdr:colOff>
      <xdr:row>8</xdr:row>
      <xdr:rowOff>47671</xdr:rowOff>
    </xdr:to>
    <xdr:pic>
      <xdr:nvPicPr>
        <xdr:cNvPr id="15" name="Graphic 14" descr="Meeting with solid fill">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999843" y="1265062"/>
          <a:ext cx="252000" cy="245649"/>
        </a:xfrm>
        <a:prstGeom prst="rect">
          <a:avLst/>
        </a:prstGeom>
      </xdr:spPr>
    </xdr:pic>
    <xdr:clientData/>
  </xdr:twoCellAnchor>
  <xdr:twoCellAnchor editAs="oneCell">
    <xdr:from>
      <xdr:col>4</xdr:col>
      <xdr:colOff>594360</xdr:colOff>
      <xdr:row>7</xdr:row>
      <xdr:rowOff>33727</xdr:rowOff>
    </xdr:from>
    <xdr:to>
      <xdr:col>5</xdr:col>
      <xdr:colOff>244380</xdr:colOff>
      <xdr:row>8</xdr:row>
      <xdr:rowOff>108193</xdr:rowOff>
    </xdr:to>
    <xdr:pic>
      <xdr:nvPicPr>
        <xdr:cNvPr id="16" name="Graphic 15" descr="Classroom with solid fill">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032760" y="1313887"/>
          <a:ext cx="259620" cy="257346"/>
        </a:xfrm>
        <a:prstGeom prst="rect">
          <a:avLst/>
        </a:prstGeom>
      </xdr:spPr>
    </xdr:pic>
    <xdr:clientData/>
  </xdr:twoCellAnchor>
  <xdr:twoCellAnchor>
    <xdr:from>
      <xdr:col>6</xdr:col>
      <xdr:colOff>159777</xdr:colOff>
      <xdr:row>1</xdr:row>
      <xdr:rowOff>83709</xdr:rowOff>
    </xdr:from>
    <xdr:to>
      <xdr:col>7</xdr:col>
      <xdr:colOff>264128</xdr:colOff>
      <xdr:row>5</xdr:row>
      <xdr:rowOff>72190</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3803090" y="274209"/>
          <a:ext cx="711569" cy="750481"/>
          <a:chOff x="5487613" y="1459561"/>
          <a:chExt cx="713951" cy="724839"/>
        </a:xfrm>
      </xdr:grpSpPr>
      <xdr:sp macro="" textlink="">
        <xdr:nvSpPr>
          <xdr:cNvPr id="18" name="Oval 17">
            <a:extLst>
              <a:ext uri="{FF2B5EF4-FFF2-40B4-BE49-F238E27FC236}">
                <a16:creationId xmlns:a16="http://schemas.microsoft.com/office/drawing/2014/main" id="{00000000-0008-0000-0000-000012000000}"/>
              </a:ext>
            </a:extLst>
          </xdr:cNvPr>
          <xdr:cNvSpPr/>
        </xdr:nvSpPr>
        <xdr:spPr>
          <a:xfrm>
            <a:off x="5487613" y="1459561"/>
            <a:ext cx="713951" cy="724839"/>
          </a:xfrm>
          <a:prstGeom prst="ellipse">
            <a:avLst/>
          </a:prstGeom>
          <a:solidFill>
            <a:srgbClr val="00416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Nova Cond" panose="020B0506020202020204" pitchFamily="34" charset="0"/>
            </a:endParaRPr>
          </a:p>
        </xdr:txBody>
      </xdr:sp>
      <xdr:pic>
        <xdr:nvPicPr>
          <xdr:cNvPr id="19" name="Graphic 18" descr="Classroom with solid fill">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574588" y="1550139"/>
            <a:ext cx="540000" cy="54368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78581</xdr:colOff>
          <xdr:row>4</xdr:row>
          <xdr:rowOff>138112</xdr:rowOff>
        </xdr:from>
        <xdr:to>
          <xdr:col>8</xdr:col>
          <xdr:colOff>357187</xdr:colOff>
          <xdr:row>6</xdr:row>
          <xdr:rowOff>130968</xdr:rowOff>
        </xdr:to>
        <xdr:sp macro="" textlink="">
          <xdr:nvSpPr>
            <xdr:cNvPr id="5121" name="Add_Record"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476248</xdr:colOff>
          <xdr:row>4</xdr:row>
          <xdr:rowOff>144065</xdr:rowOff>
        </xdr:from>
        <xdr:to>
          <xdr:col>10</xdr:col>
          <xdr:colOff>529011</xdr:colOff>
          <xdr:row>6</xdr:row>
          <xdr:rowOff>138571</xdr:rowOff>
        </xdr:to>
        <xdr:sp macro="" textlink="">
          <xdr:nvSpPr>
            <xdr:cNvPr id="5122" name="RefreshAll"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21166</xdr:rowOff>
    </xdr:from>
    <xdr:to>
      <xdr:col>2</xdr:col>
      <xdr:colOff>455084</xdr:colOff>
      <xdr:row>3</xdr:row>
      <xdr:rowOff>29825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9917" y="211666"/>
          <a:ext cx="635000" cy="442576"/>
        </a:xfrm>
        <a:prstGeom prst="rect">
          <a:avLst/>
        </a:prstGeom>
      </xdr:spPr>
    </xdr:pic>
    <xdr:clientData/>
  </xdr:twoCellAnchor>
  <xdr:twoCellAnchor>
    <xdr:from>
      <xdr:col>2</xdr:col>
      <xdr:colOff>370419</xdr:colOff>
      <xdr:row>1</xdr:row>
      <xdr:rowOff>52918</xdr:rowOff>
    </xdr:from>
    <xdr:to>
      <xdr:col>11</xdr:col>
      <xdr:colOff>391584</xdr:colOff>
      <xdr:row>3</xdr:row>
      <xdr:rowOff>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730252" y="243418"/>
          <a:ext cx="497416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2400" b="1">
              <a:solidFill>
                <a:schemeClr val="bg1"/>
              </a:solidFill>
              <a:latin typeface="Arial Nova Cond" panose="020B0506020202020204" pitchFamily="34" charset="0"/>
            </a:rPr>
            <a:t>LEARNING &amp; DEVELOPMENT INSIGHTS</a:t>
          </a:r>
        </a:p>
      </xdr:txBody>
    </xdr:sp>
    <xdr:clientData/>
  </xdr:twoCellAnchor>
  <xdr:twoCellAnchor editAs="oneCell">
    <xdr:from>
      <xdr:col>6</xdr:col>
      <xdr:colOff>21166</xdr:colOff>
      <xdr:row>13</xdr:row>
      <xdr:rowOff>232832</xdr:rowOff>
    </xdr:from>
    <xdr:to>
      <xdr:col>6</xdr:col>
      <xdr:colOff>275166</xdr:colOff>
      <xdr:row>14</xdr:row>
      <xdr:rowOff>243416</xdr:rowOff>
    </xdr:to>
    <xdr:pic>
      <xdr:nvPicPr>
        <xdr:cNvPr id="8" name="Graphic 7" descr="Lecturer with solid fill">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97666" y="2825749"/>
          <a:ext cx="254000" cy="254000"/>
        </a:xfrm>
        <a:prstGeom prst="rect">
          <a:avLst/>
        </a:prstGeom>
      </xdr:spPr>
    </xdr:pic>
    <xdr:clientData/>
  </xdr:twoCellAnchor>
  <xdr:twoCellAnchor editAs="oneCell">
    <xdr:from>
      <xdr:col>6</xdr:col>
      <xdr:colOff>21166</xdr:colOff>
      <xdr:row>23</xdr:row>
      <xdr:rowOff>232833</xdr:rowOff>
    </xdr:from>
    <xdr:to>
      <xdr:col>6</xdr:col>
      <xdr:colOff>276766</xdr:colOff>
      <xdr:row>25</xdr:row>
      <xdr:rowOff>1599</xdr:rowOff>
    </xdr:to>
    <xdr:pic>
      <xdr:nvPicPr>
        <xdr:cNvPr id="10" name="Graphic 9" descr="Classroom with solid fill">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97666" y="5259916"/>
          <a:ext cx="255600" cy="255600"/>
        </a:xfrm>
        <a:prstGeom prst="rect">
          <a:avLst/>
        </a:prstGeom>
      </xdr:spPr>
    </xdr:pic>
    <xdr:clientData/>
  </xdr:twoCellAnchor>
  <xdr:twoCellAnchor editAs="oneCell">
    <xdr:from>
      <xdr:col>14</xdr:col>
      <xdr:colOff>10582</xdr:colOff>
      <xdr:row>14</xdr:row>
      <xdr:rowOff>1</xdr:rowOff>
    </xdr:from>
    <xdr:to>
      <xdr:col>14</xdr:col>
      <xdr:colOff>275166</xdr:colOff>
      <xdr:row>15</xdr:row>
      <xdr:rowOff>21168</xdr:rowOff>
    </xdr:to>
    <xdr:pic>
      <xdr:nvPicPr>
        <xdr:cNvPr id="12" name="Graphic 11" descr="Bar graph with upward trend with solid fill">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30999" y="2836334"/>
          <a:ext cx="264584" cy="264584"/>
        </a:xfrm>
        <a:prstGeom prst="rect">
          <a:avLst/>
        </a:prstGeom>
      </xdr:spPr>
    </xdr:pic>
    <xdr:clientData/>
  </xdr:twoCellAnchor>
  <xdr:twoCellAnchor editAs="oneCell">
    <xdr:from>
      <xdr:col>14</xdr:col>
      <xdr:colOff>63498</xdr:colOff>
      <xdr:row>23</xdr:row>
      <xdr:rowOff>243415</xdr:rowOff>
    </xdr:from>
    <xdr:to>
      <xdr:col>14</xdr:col>
      <xdr:colOff>328081</xdr:colOff>
      <xdr:row>25</xdr:row>
      <xdr:rowOff>21164</xdr:rowOff>
    </xdr:to>
    <xdr:pic>
      <xdr:nvPicPr>
        <xdr:cNvPr id="14" name="Graphic 13" descr="Target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783915" y="5270498"/>
          <a:ext cx="264583" cy="264583"/>
        </a:xfrm>
        <a:prstGeom prst="rect">
          <a:avLst/>
        </a:prstGeom>
      </xdr:spPr>
    </xdr:pic>
    <xdr:clientData/>
  </xdr:twoCellAnchor>
  <xdr:twoCellAnchor>
    <xdr:from>
      <xdr:col>6</xdr:col>
      <xdr:colOff>226487</xdr:colOff>
      <xdr:row>14</xdr:row>
      <xdr:rowOff>4235</xdr:rowOff>
    </xdr:from>
    <xdr:to>
      <xdr:col>9</xdr:col>
      <xdr:colOff>539752</xdr:colOff>
      <xdr:row>14</xdr:row>
      <xdr:rowOff>232834</xdr:rowOff>
    </xdr:to>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2702987" y="2840568"/>
          <a:ext cx="1921932"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600" b="1">
              <a:solidFill>
                <a:srgbClr val="00416E"/>
              </a:solidFill>
            </a:rPr>
            <a:t>Trainer Performance</a:t>
          </a:r>
        </a:p>
      </xdr:txBody>
    </xdr:sp>
    <xdr:clientData/>
  </xdr:twoCellAnchor>
  <xdr:twoCellAnchor>
    <xdr:from>
      <xdr:col>6</xdr:col>
      <xdr:colOff>283637</xdr:colOff>
      <xdr:row>24</xdr:row>
      <xdr:rowOff>8468</xdr:rowOff>
    </xdr:from>
    <xdr:to>
      <xdr:col>9</xdr:col>
      <xdr:colOff>596902</xdr:colOff>
      <xdr:row>24</xdr:row>
      <xdr:rowOff>237067</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2760137" y="5278968"/>
          <a:ext cx="1921932"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600" b="1">
              <a:solidFill>
                <a:srgbClr val="00416E"/>
              </a:solidFill>
            </a:rPr>
            <a:t>Training Topic Impact</a:t>
          </a:r>
        </a:p>
      </xdr:txBody>
    </xdr:sp>
    <xdr:clientData/>
  </xdr:twoCellAnchor>
  <xdr:twoCellAnchor>
    <xdr:from>
      <xdr:col>14</xdr:col>
      <xdr:colOff>325971</xdr:colOff>
      <xdr:row>24</xdr:row>
      <xdr:rowOff>8469</xdr:rowOff>
    </xdr:from>
    <xdr:to>
      <xdr:col>18</xdr:col>
      <xdr:colOff>158750</xdr:colOff>
      <xdr:row>24</xdr:row>
      <xdr:rowOff>222250</xdr:rowOff>
    </xdr:to>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7046388" y="5278969"/>
          <a:ext cx="2288112" cy="213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600" b="1">
              <a:solidFill>
                <a:srgbClr val="00416E"/>
              </a:solidFill>
            </a:rPr>
            <a:t>% Adherence - Department</a:t>
          </a:r>
        </a:p>
      </xdr:txBody>
    </xdr:sp>
    <xdr:clientData/>
  </xdr:twoCellAnchor>
  <xdr:twoCellAnchor>
    <xdr:from>
      <xdr:col>14</xdr:col>
      <xdr:colOff>304803</xdr:colOff>
      <xdr:row>13</xdr:row>
      <xdr:rowOff>241302</xdr:rowOff>
    </xdr:from>
    <xdr:to>
      <xdr:col>16</xdr:col>
      <xdr:colOff>285750</xdr:colOff>
      <xdr:row>15</xdr:row>
      <xdr:rowOff>0</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7025220" y="2834219"/>
          <a:ext cx="1208613" cy="245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600" b="1">
              <a:solidFill>
                <a:srgbClr val="00416E"/>
              </a:solidFill>
            </a:rPr>
            <a:t>Monthly Trend</a:t>
          </a:r>
        </a:p>
      </xdr:txBody>
    </xdr:sp>
    <xdr:clientData/>
  </xdr:twoCellAnchor>
  <xdr:twoCellAnchor editAs="oneCell">
    <xdr:from>
      <xdr:col>22</xdr:col>
      <xdr:colOff>10584</xdr:colOff>
      <xdr:row>1</xdr:row>
      <xdr:rowOff>169336</xdr:rowOff>
    </xdr:from>
    <xdr:to>
      <xdr:col>22</xdr:col>
      <xdr:colOff>306916</xdr:colOff>
      <xdr:row>3</xdr:row>
      <xdr:rowOff>31751</xdr:rowOff>
    </xdr:to>
    <xdr:pic>
      <xdr:nvPicPr>
        <xdr:cNvPr id="21" name="Graphic 20" descr="Bullseye with solid fill">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207751" y="359836"/>
          <a:ext cx="296332" cy="296332"/>
        </a:xfrm>
        <a:prstGeom prst="rect">
          <a:avLst/>
        </a:prstGeom>
      </xdr:spPr>
    </xdr:pic>
    <xdr:clientData/>
  </xdr:twoCellAnchor>
  <xdr:twoCellAnchor>
    <xdr:from>
      <xdr:col>22</xdr:col>
      <xdr:colOff>340791</xdr:colOff>
      <xdr:row>2</xdr:row>
      <xdr:rowOff>10583</xdr:rowOff>
    </xdr:from>
    <xdr:to>
      <xdr:col>26</xdr:col>
      <xdr:colOff>264584</xdr:colOff>
      <xdr:row>2</xdr:row>
      <xdr:rowOff>222250</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11537958" y="391583"/>
          <a:ext cx="2368543"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600" b="1">
              <a:solidFill>
                <a:srgbClr val="00416E"/>
              </a:solidFill>
            </a:rPr>
            <a:t>Trainee Target Achievement</a:t>
          </a:r>
        </a:p>
      </xdr:txBody>
    </xdr:sp>
    <xdr:clientData/>
  </xdr:twoCellAnchor>
  <xdr:twoCellAnchor>
    <xdr:from>
      <xdr:col>23</xdr:col>
      <xdr:colOff>33878</xdr:colOff>
      <xdr:row>24</xdr:row>
      <xdr:rowOff>0</xdr:rowOff>
    </xdr:from>
    <xdr:to>
      <xdr:col>25</xdr:col>
      <xdr:colOff>518586</xdr:colOff>
      <xdr:row>25</xdr:row>
      <xdr:rowOff>0</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11612045" y="5270500"/>
          <a:ext cx="1860541"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600" b="1">
              <a:solidFill>
                <a:srgbClr val="00416E"/>
              </a:solidFill>
            </a:rPr>
            <a:t>Department Overview</a:t>
          </a:r>
        </a:p>
      </xdr:txBody>
    </xdr:sp>
    <xdr:clientData/>
  </xdr:twoCellAnchor>
  <xdr:twoCellAnchor editAs="oneCell">
    <xdr:from>
      <xdr:col>22</xdr:col>
      <xdr:colOff>10584</xdr:colOff>
      <xdr:row>23</xdr:row>
      <xdr:rowOff>201085</xdr:rowOff>
    </xdr:from>
    <xdr:to>
      <xdr:col>22</xdr:col>
      <xdr:colOff>328084</xdr:colOff>
      <xdr:row>25</xdr:row>
      <xdr:rowOff>31751</xdr:rowOff>
    </xdr:to>
    <xdr:pic>
      <xdr:nvPicPr>
        <xdr:cNvPr id="25" name="Graphic 24" descr="Meeting with solid fill">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207751" y="5228168"/>
          <a:ext cx="317500" cy="317500"/>
        </a:xfrm>
        <a:prstGeom prst="rect">
          <a:avLst/>
        </a:prstGeom>
      </xdr:spPr>
    </xdr:pic>
    <xdr:clientData/>
  </xdr:twoCellAnchor>
  <xdr:twoCellAnchor>
    <xdr:from>
      <xdr:col>22</xdr:col>
      <xdr:colOff>361957</xdr:colOff>
      <xdr:row>14</xdr:row>
      <xdr:rowOff>12702</xdr:rowOff>
    </xdr:from>
    <xdr:to>
      <xdr:col>26</xdr:col>
      <xdr:colOff>254002</xdr:colOff>
      <xdr:row>14</xdr:row>
      <xdr:rowOff>232834</xdr:rowOff>
    </xdr:to>
    <xdr:sp macro="" textlink="">
      <xdr:nvSpPr>
        <xdr:cNvPr id="26" name="TextBox 25">
          <a:extLst>
            <a:ext uri="{FF2B5EF4-FFF2-40B4-BE49-F238E27FC236}">
              <a16:creationId xmlns:a16="http://schemas.microsoft.com/office/drawing/2014/main" id="{00000000-0008-0000-0500-00001A000000}"/>
            </a:ext>
          </a:extLst>
        </xdr:cNvPr>
        <xdr:cNvSpPr txBox="1"/>
      </xdr:nvSpPr>
      <xdr:spPr>
        <a:xfrm>
          <a:off x="11559124" y="2849035"/>
          <a:ext cx="2336795" cy="220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600" b="1">
              <a:solidFill>
                <a:srgbClr val="00416E"/>
              </a:solidFill>
            </a:rPr>
            <a:t>% Achievement - Employee</a:t>
          </a:r>
        </a:p>
      </xdr:txBody>
    </xdr:sp>
    <xdr:clientData/>
  </xdr:twoCellAnchor>
  <xdr:twoCellAnchor editAs="oneCell">
    <xdr:from>
      <xdr:col>22</xdr:col>
      <xdr:colOff>42332</xdr:colOff>
      <xdr:row>13</xdr:row>
      <xdr:rowOff>232832</xdr:rowOff>
    </xdr:from>
    <xdr:to>
      <xdr:col>22</xdr:col>
      <xdr:colOff>338666</xdr:colOff>
      <xdr:row>15</xdr:row>
      <xdr:rowOff>42333</xdr:rowOff>
    </xdr:to>
    <xdr:pic>
      <xdr:nvPicPr>
        <xdr:cNvPr id="28" name="Graphic 27" descr="Female Profile with solid fill">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239499" y="2825749"/>
          <a:ext cx="296334" cy="296334"/>
        </a:xfrm>
        <a:prstGeom prst="rect">
          <a:avLst/>
        </a:prstGeom>
      </xdr:spPr>
    </xdr:pic>
    <xdr:clientData/>
  </xdr:twoCellAnchor>
  <xdr:twoCellAnchor>
    <xdr:from>
      <xdr:col>2</xdr:col>
      <xdr:colOff>539751</xdr:colOff>
      <xdr:row>4</xdr:row>
      <xdr:rowOff>21167</xdr:rowOff>
    </xdr:from>
    <xdr:to>
      <xdr:col>5</xdr:col>
      <xdr:colOff>10585</xdr:colOff>
      <xdr:row>5</xdr:row>
      <xdr:rowOff>1</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899584" y="772584"/>
          <a:ext cx="1407584" cy="296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200" b="1">
              <a:solidFill>
                <a:schemeClr val="bg1"/>
              </a:solidFill>
              <a:latin typeface="Arial Nova Cond" panose="020B0506020202020204" pitchFamily="34" charset="0"/>
            </a:rPr>
            <a:t>Training Sessions</a:t>
          </a:r>
        </a:p>
      </xdr:txBody>
    </xdr:sp>
    <xdr:clientData/>
  </xdr:twoCellAnchor>
  <xdr:twoCellAnchor>
    <xdr:from>
      <xdr:col>2</xdr:col>
      <xdr:colOff>582085</xdr:colOff>
      <xdr:row>6</xdr:row>
      <xdr:rowOff>67732</xdr:rowOff>
    </xdr:from>
    <xdr:to>
      <xdr:col>5</xdr:col>
      <xdr:colOff>10585</xdr:colOff>
      <xdr:row>6</xdr:row>
      <xdr:rowOff>296334</xdr:rowOff>
    </xdr:to>
    <xdr:sp macro="" textlink="">
      <xdr:nvSpPr>
        <xdr:cNvPr id="30" name="TextBox 29">
          <a:extLst>
            <a:ext uri="{FF2B5EF4-FFF2-40B4-BE49-F238E27FC236}">
              <a16:creationId xmlns:a16="http://schemas.microsoft.com/office/drawing/2014/main" id="{00000000-0008-0000-0500-00001E000000}"/>
            </a:ext>
          </a:extLst>
        </xdr:cNvPr>
        <xdr:cNvSpPr txBox="1"/>
      </xdr:nvSpPr>
      <xdr:spPr>
        <a:xfrm>
          <a:off x="941918" y="1189565"/>
          <a:ext cx="1365250" cy="228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200" b="1">
              <a:solidFill>
                <a:schemeClr val="bg1"/>
              </a:solidFill>
              <a:latin typeface="Arial Nova Cond" panose="020B0506020202020204" pitchFamily="34" charset="0"/>
            </a:rPr>
            <a:t>Total Training</a:t>
          </a:r>
          <a:r>
            <a:rPr lang="en-US" sz="1200" b="1" baseline="0">
              <a:solidFill>
                <a:schemeClr val="bg1"/>
              </a:solidFill>
              <a:latin typeface="Arial Nova Cond" panose="020B0506020202020204" pitchFamily="34" charset="0"/>
            </a:rPr>
            <a:t> Hrs.</a:t>
          </a:r>
          <a:endParaRPr lang="en-US" sz="1200" b="1">
            <a:solidFill>
              <a:schemeClr val="bg1"/>
            </a:solidFill>
            <a:latin typeface="Arial Nova Cond" panose="020B0506020202020204" pitchFamily="34" charset="0"/>
          </a:endParaRPr>
        </a:p>
      </xdr:txBody>
    </xdr:sp>
    <xdr:clientData/>
  </xdr:twoCellAnchor>
  <xdr:twoCellAnchor>
    <xdr:from>
      <xdr:col>2</xdr:col>
      <xdr:colOff>613833</xdr:colOff>
      <xdr:row>8</xdr:row>
      <xdr:rowOff>57149</xdr:rowOff>
    </xdr:from>
    <xdr:to>
      <xdr:col>5</xdr:col>
      <xdr:colOff>10584</xdr:colOff>
      <xdr:row>8</xdr:row>
      <xdr:rowOff>285750</xdr:rowOff>
    </xdr:to>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973666" y="1549399"/>
          <a:ext cx="1333501"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200" b="1">
              <a:solidFill>
                <a:schemeClr val="bg1"/>
              </a:solidFill>
              <a:latin typeface="Arial Nova Cond" panose="020B0506020202020204" pitchFamily="34" charset="0"/>
            </a:rPr>
            <a:t>Trainee Training</a:t>
          </a:r>
          <a:r>
            <a:rPr lang="en-US" sz="1200" b="1" baseline="0">
              <a:solidFill>
                <a:schemeClr val="bg1"/>
              </a:solidFill>
              <a:latin typeface="Arial Nova Cond" panose="020B0506020202020204" pitchFamily="34" charset="0"/>
            </a:rPr>
            <a:t> Hrs.</a:t>
          </a:r>
          <a:endParaRPr lang="en-US" sz="1200" b="1">
            <a:solidFill>
              <a:schemeClr val="bg1"/>
            </a:solidFill>
            <a:latin typeface="Arial Nova Cond" panose="020B0506020202020204" pitchFamily="34" charset="0"/>
          </a:endParaRPr>
        </a:p>
      </xdr:txBody>
    </xdr:sp>
    <xdr:clientData/>
  </xdr:twoCellAnchor>
  <xdr:twoCellAnchor>
    <xdr:from>
      <xdr:col>6</xdr:col>
      <xdr:colOff>285750</xdr:colOff>
      <xdr:row>6</xdr:row>
      <xdr:rowOff>296336</xdr:rowOff>
    </xdr:from>
    <xdr:to>
      <xdr:col>11</xdr:col>
      <xdr:colOff>41417</xdr:colOff>
      <xdr:row>12</xdr:row>
      <xdr:rowOff>148669</xdr:rowOff>
    </xdr:to>
    <xdr:sp macro="" textlink="">
      <xdr:nvSpPr>
        <xdr:cNvPr id="32" name="Rectangle: Rounded Corners 31">
          <a:extLst>
            <a:ext uri="{FF2B5EF4-FFF2-40B4-BE49-F238E27FC236}">
              <a16:creationId xmlns:a16="http://schemas.microsoft.com/office/drawing/2014/main" id="{00000000-0008-0000-0500-000020000000}"/>
            </a:ext>
          </a:extLst>
        </xdr:cNvPr>
        <xdr:cNvSpPr/>
      </xdr:nvSpPr>
      <xdr:spPr>
        <a:xfrm>
          <a:off x="2762250" y="1418169"/>
          <a:ext cx="2592000" cy="1080000"/>
        </a:xfrm>
        <a:prstGeom prst="roundRect">
          <a:avLst>
            <a:gd name="adj" fmla="val 37261"/>
          </a:avLst>
        </a:prstGeom>
        <a:solidFill>
          <a:srgbClr val="5AE6E6"/>
        </a:solidFill>
        <a:ln>
          <a:noFill/>
        </a:ln>
        <a:effectLst>
          <a:outerShdw dist="63500" dir="2700000" algn="tl" rotWithShape="0">
            <a:srgbClr val="007896"/>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74083</xdr:colOff>
      <xdr:row>8</xdr:row>
      <xdr:rowOff>105919</xdr:rowOff>
    </xdr:from>
    <xdr:to>
      <xdr:col>8</xdr:col>
      <xdr:colOff>180250</xdr:colOff>
      <xdr:row>11</xdr:row>
      <xdr:rowOff>212086</xdr:rowOff>
    </xdr:to>
    <xdr:sp macro="" textlink="">
      <xdr:nvSpPr>
        <xdr:cNvPr id="33" name="Oval 32">
          <a:extLst>
            <a:ext uri="{FF2B5EF4-FFF2-40B4-BE49-F238E27FC236}">
              <a16:creationId xmlns:a16="http://schemas.microsoft.com/office/drawing/2014/main" id="{00000000-0008-0000-0500-000021000000}"/>
            </a:ext>
          </a:extLst>
        </xdr:cNvPr>
        <xdr:cNvSpPr/>
      </xdr:nvSpPr>
      <xdr:spPr>
        <a:xfrm>
          <a:off x="2931583" y="1598169"/>
          <a:ext cx="720000" cy="7200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300570</xdr:colOff>
      <xdr:row>8</xdr:row>
      <xdr:rowOff>4235</xdr:rowOff>
    </xdr:from>
    <xdr:to>
      <xdr:col>10</xdr:col>
      <xdr:colOff>74084</xdr:colOff>
      <xdr:row>8</xdr:row>
      <xdr:rowOff>306917</xdr:rowOff>
    </xdr:to>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3771903" y="1496485"/>
          <a:ext cx="1001181" cy="30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600" b="1">
              <a:solidFill>
                <a:srgbClr val="004B78"/>
              </a:solidFill>
              <a:latin typeface="Arial Nova Cond" panose="020B0506020202020204" pitchFamily="34" charset="0"/>
              <a:ea typeface="+mn-ea"/>
              <a:cs typeface="+mn-cs"/>
            </a:rPr>
            <a:t>Top Trainer</a:t>
          </a:r>
        </a:p>
      </xdr:txBody>
    </xdr:sp>
    <xdr:clientData/>
  </xdr:twoCellAnchor>
  <xdr:twoCellAnchor>
    <xdr:from>
      <xdr:col>8</xdr:col>
      <xdr:colOff>241303</xdr:colOff>
      <xdr:row>8</xdr:row>
      <xdr:rowOff>304801</xdr:rowOff>
    </xdr:from>
    <xdr:to>
      <xdr:col>9</xdr:col>
      <xdr:colOff>560916</xdr:colOff>
      <xdr:row>10</xdr:row>
      <xdr:rowOff>232833</xdr:rowOff>
    </xdr:to>
    <xdr:sp macro="" textlink="Pivots!B3">
      <xdr:nvSpPr>
        <xdr:cNvPr id="35" name="TextBox 34">
          <a:extLst>
            <a:ext uri="{FF2B5EF4-FFF2-40B4-BE49-F238E27FC236}">
              <a16:creationId xmlns:a16="http://schemas.microsoft.com/office/drawing/2014/main" id="{00000000-0008-0000-0500-000023000000}"/>
            </a:ext>
          </a:extLst>
        </xdr:cNvPr>
        <xdr:cNvSpPr txBox="1"/>
      </xdr:nvSpPr>
      <xdr:spPr>
        <a:xfrm>
          <a:off x="3712636" y="1797051"/>
          <a:ext cx="933447" cy="29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9C8B6B91-32A7-42C7-ACD5-D64A92A3DEB1}" type="TxLink">
            <a:rPr lang="en-US" sz="1400" b="1">
              <a:solidFill>
                <a:srgbClr val="E6325A"/>
              </a:solidFill>
              <a:latin typeface="Arial Nova Cond" panose="020B0506020202020204" pitchFamily="34" charset="0"/>
              <a:ea typeface="+mn-ea"/>
              <a:cs typeface="+mn-cs"/>
            </a:rPr>
            <a:pPr marL="0" indent="0" algn="ctr"/>
            <a:t>Trainer 04</a:t>
          </a:fld>
          <a:endParaRPr lang="en-US" sz="1400" b="1">
            <a:solidFill>
              <a:srgbClr val="E6325A"/>
            </a:solidFill>
            <a:latin typeface="Arial Nova Cond" panose="020B0506020202020204" pitchFamily="34" charset="0"/>
            <a:ea typeface="+mn-ea"/>
            <a:cs typeface="+mn-cs"/>
          </a:endParaRPr>
        </a:p>
      </xdr:txBody>
    </xdr:sp>
    <xdr:clientData/>
  </xdr:twoCellAnchor>
  <xdr:twoCellAnchor>
    <xdr:from>
      <xdr:col>8</xdr:col>
      <xdr:colOff>209553</xdr:colOff>
      <xdr:row>10</xdr:row>
      <xdr:rowOff>177801</xdr:rowOff>
    </xdr:from>
    <xdr:to>
      <xdr:col>9</xdr:col>
      <xdr:colOff>74083</xdr:colOff>
      <xdr:row>12</xdr:row>
      <xdr:rowOff>95249</xdr:rowOff>
    </xdr:to>
    <xdr:sp macro="" textlink="Pivots!C3">
      <xdr:nvSpPr>
        <xdr:cNvPr id="36" name="TextBox 35">
          <a:extLst>
            <a:ext uri="{FF2B5EF4-FFF2-40B4-BE49-F238E27FC236}">
              <a16:creationId xmlns:a16="http://schemas.microsoft.com/office/drawing/2014/main" id="{00000000-0008-0000-0500-000024000000}"/>
            </a:ext>
          </a:extLst>
        </xdr:cNvPr>
        <xdr:cNvSpPr txBox="1"/>
      </xdr:nvSpPr>
      <xdr:spPr>
        <a:xfrm>
          <a:off x="3680886" y="2040468"/>
          <a:ext cx="478364" cy="404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2685936D-28D6-4694-9E89-994993065C48}" type="TxLink">
            <a:rPr lang="en-US" sz="2400" b="1">
              <a:solidFill>
                <a:srgbClr val="004B78"/>
              </a:solidFill>
              <a:latin typeface="Arial Nova Cond" panose="020B0506020202020204" pitchFamily="34" charset="0"/>
              <a:ea typeface="+mn-ea"/>
              <a:cs typeface="+mn-cs"/>
            </a:rPr>
            <a:pPr marL="0" indent="0" algn="ctr"/>
            <a:t>38</a:t>
          </a:fld>
          <a:endParaRPr lang="en-US" sz="2400" b="1">
            <a:solidFill>
              <a:srgbClr val="004B78"/>
            </a:solidFill>
            <a:latin typeface="Arial Nova Cond" panose="020B0506020202020204" pitchFamily="34" charset="0"/>
            <a:ea typeface="+mn-ea"/>
            <a:cs typeface="+mn-cs"/>
          </a:endParaRPr>
        </a:p>
      </xdr:txBody>
    </xdr:sp>
    <xdr:clientData/>
  </xdr:twoCellAnchor>
  <xdr:twoCellAnchor>
    <xdr:from>
      <xdr:col>8</xdr:col>
      <xdr:colOff>579970</xdr:colOff>
      <xdr:row>11</xdr:row>
      <xdr:rowOff>50802</xdr:rowOff>
    </xdr:from>
    <xdr:to>
      <xdr:col>10</xdr:col>
      <xdr:colOff>412751</xdr:colOff>
      <xdr:row>12</xdr:row>
      <xdr:rowOff>42334</xdr:rowOff>
    </xdr:to>
    <xdr:sp macro="" textlink="">
      <xdr:nvSpPr>
        <xdr:cNvPr id="37" name="TextBox 36">
          <a:extLst>
            <a:ext uri="{FF2B5EF4-FFF2-40B4-BE49-F238E27FC236}">
              <a16:creationId xmlns:a16="http://schemas.microsoft.com/office/drawing/2014/main" id="{00000000-0008-0000-0500-000025000000}"/>
            </a:ext>
          </a:extLst>
        </xdr:cNvPr>
        <xdr:cNvSpPr txBox="1"/>
      </xdr:nvSpPr>
      <xdr:spPr>
        <a:xfrm>
          <a:off x="4051303" y="2156885"/>
          <a:ext cx="1060448" cy="234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400" b="1" i="0" u="none" strike="noStrike">
              <a:solidFill>
                <a:srgbClr val="004B78"/>
              </a:solidFill>
              <a:latin typeface="Arial Nova Cond" panose="020B0506020202020204" pitchFamily="34" charset="0"/>
              <a:ea typeface="+mn-ea"/>
              <a:cs typeface="+mn-cs"/>
            </a:rPr>
            <a:t>Training Hrs.</a:t>
          </a:r>
        </a:p>
      </xdr:txBody>
    </xdr:sp>
    <xdr:clientData/>
  </xdr:twoCellAnchor>
  <xdr:twoCellAnchor>
    <xdr:from>
      <xdr:col>11</xdr:col>
      <xdr:colOff>328084</xdr:colOff>
      <xdr:row>6</xdr:row>
      <xdr:rowOff>296336</xdr:rowOff>
    </xdr:from>
    <xdr:to>
      <xdr:col>16</xdr:col>
      <xdr:colOff>284834</xdr:colOff>
      <xdr:row>12</xdr:row>
      <xdr:rowOff>148669</xdr:rowOff>
    </xdr:to>
    <xdr:sp macro="" textlink="">
      <xdr:nvSpPr>
        <xdr:cNvPr id="38" name="Rectangle: Rounded Corners 37">
          <a:extLst>
            <a:ext uri="{FF2B5EF4-FFF2-40B4-BE49-F238E27FC236}">
              <a16:creationId xmlns:a16="http://schemas.microsoft.com/office/drawing/2014/main" id="{00000000-0008-0000-0500-000026000000}"/>
            </a:ext>
          </a:extLst>
        </xdr:cNvPr>
        <xdr:cNvSpPr/>
      </xdr:nvSpPr>
      <xdr:spPr>
        <a:xfrm>
          <a:off x="5640917" y="1418169"/>
          <a:ext cx="2592000" cy="1080000"/>
        </a:xfrm>
        <a:prstGeom prst="roundRect">
          <a:avLst>
            <a:gd name="adj" fmla="val 37261"/>
          </a:avLst>
        </a:prstGeom>
        <a:solidFill>
          <a:schemeClr val="bg1"/>
        </a:solidFill>
        <a:ln>
          <a:noFill/>
        </a:ln>
        <a:effectLst>
          <a:outerShdw dist="63500" dir="2700000" algn="tl" rotWithShape="0">
            <a:srgbClr val="007896"/>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456917</xdr:colOff>
      <xdr:row>8</xdr:row>
      <xdr:rowOff>105919</xdr:rowOff>
    </xdr:from>
    <xdr:to>
      <xdr:col>12</xdr:col>
      <xdr:colOff>563083</xdr:colOff>
      <xdr:row>11</xdr:row>
      <xdr:rowOff>212086</xdr:rowOff>
    </xdr:to>
    <xdr:sp macro="" textlink="">
      <xdr:nvSpPr>
        <xdr:cNvPr id="39" name="Oval 38">
          <a:extLst>
            <a:ext uri="{FF2B5EF4-FFF2-40B4-BE49-F238E27FC236}">
              <a16:creationId xmlns:a16="http://schemas.microsoft.com/office/drawing/2014/main" id="{00000000-0008-0000-0500-000027000000}"/>
            </a:ext>
          </a:extLst>
        </xdr:cNvPr>
        <xdr:cNvSpPr/>
      </xdr:nvSpPr>
      <xdr:spPr>
        <a:xfrm>
          <a:off x="5769750" y="1598169"/>
          <a:ext cx="720000" cy="720000"/>
        </a:xfrm>
        <a:prstGeom prst="ellipse">
          <a:avLst/>
        </a:prstGeom>
        <a:solidFill>
          <a:srgbClr val="00416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4237</xdr:colOff>
      <xdr:row>8</xdr:row>
      <xdr:rowOff>4235</xdr:rowOff>
    </xdr:from>
    <xdr:to>
      <xdr:col>16</xdr:col>
      <xdr:colOff>179917</xdr:colOff>
      <xdr:row>8</xdr:row>
      <xdr:rowOff>306917</xdr:rowOff>
    </xdr:to>
    <xdr:sp macro="" textlink="">
      <xdr:nvSpPr>
        <xdr:cNvPr id="40" name="TextBox 39">
          <a:extLst>
            <a:ext uri="{FF2B5EF4-FFF2-40B4-BE49-F238E27FC236}">
              <a16:creationId xmlns:a16="http://schemas.microsoft.com/office/drawing/2014/main" id="{00000000-0008-0000-0500-000028000000}"/>
            </a:ext>
          </a:extLst>
        </xdr:cNvPr>
        <xdr:cNvSpPr txBox="1"/>
      </xdr:nvSpPr>
      <xdr:spPr>
        <a:xfrm>
          <a:off x="6544737" y="1496485"/>
          <a:ext cx="1583263" cy="30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600" b="1">
              <a:solidFill>
                <a:srgbClr val="004B78"/>
              </a:solidFill>
              <a:latin typeface="Arial Nova Cond" panose="020B0506020202020204" pitchFamily="34" charset="0"/>
              <a:ea typeface="+mn-ea"/>
              <a:cs typeface="+mn-cs"/>
            </a:rPr>
            <a:t>Top Training</a:t>
          </a:r>
          <a:r>
            <a:rPr lang="en-US" sz="1600" b="1" baseline="0">
              <a:solidFill>
                <a:srgbClr val="004B78"/>
              </a:solidFill>
              <a:latin typeface="Arial Nova Cond" panose="020B0506020202020204" pitchFamily="34" charset="0"/>
              <a:ea typeface="+mn-ea"/>
              <a:cs typeface="+mn-cs"/>
            </a:rPr>
            <a:t> Topic</a:t>
          </a:r>
          <a:endParaRPr lang="en-US" sz="1600" b="1">
            <a:solidFill>
              <a:srgbClr val="004B78"/>
            </a:solidFill>
            <a:latin typeface="Arial Nova Cond" panose="020B0506020202020204" pitchFamily="34" charset="0"/>
            <a:ea typeface="+mn-ea"/>
            <a:cs typeface="+mn-cs"/>
          </a:endParaRPr>
        </a:p>
      </xdr:txBody>
    </xdr:sp>
    <xdr:clientData/>
  </xdr:twoCellAnchor>
  <xdr:twoCellAnchor>
    <xdr:from>
      <xdr:col>13</xdr:col>
      <xdr:colOff>50803</xdr:colOff>
      <xdr:row>8</xdr:row>
      <xdr:rowOff>304801</xdr:rowOff>
    </xdr:from>
    <xdr:to>
      <xdr:col>15</xdr:col>
      <xdr:colOff>190500</xdr:colOff>
      <xdr:row>10</xdr:row>
      <xdr:rowOff>232833</xdr:rowOff>
    </xdr:to>
    <xdr:sp macro="" textlink="Pivots!E3">
      <xdr:nvSpPr>
        <xdr:cNvPr id="41" name="TextBox 40">
          <a:extLst>
            <a:ext uri="{FF2B5EF4-FFF2-40B4-BE49-F238E27FC236}">
              <a16:creationId xmlns:a16="http://schemas.microsoft.com/office/drawing/2014/main" id="{00000000-0008-0000-0500-000029000000}"/>
            </a:ext>
          </a:extLst>
        </xdr:cNvPr>
        <xdr:cNvSpPr txBox="1"/>
      </xdr:nvSpPr>
      <xdr:spPr>
        <a:xfrm>
          <a:off x="6591303" y="1797051"/>
          <a:ext cx="933447" cy="29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0B965236-D7B6-417A-A309-D9BA13D64DE6}" type="TxLink">
            <a:rPr lang="en-US" sz="1400" b="1">
              <a:solidFill>
                <a:srgbClr val="E6325A"/>
              </a:solidFill>
              <a:latin typeface="Arial Nova Cond" panose="020B0506020202020204" pitchFamily="34" charset="0"/>
              <a:ea typeface="+mn-ea"/>
              <a:cs typeface="+mn-cs"/>
            </a:rPr>
            <a:pPr marL="0" indent="0" algn="ctr"/>
            <a:t>Six Sigma</a:t>
          </a:fld>
          <a:endParaRPr lang="en-US" sz="1400" b="1">
            <a:solidFill>
              <a:srgbClr val="E6325A"/>
            </a:solidFill>
            <a:latin typeface="Arial Nova Cond" panose="020B0506020202020204" pitchFamily="34" charset="0"/>
            <a:ea typeface="+mn-ea"/>
            <a:cs typeface="+mn-cs"/>
          </a:endParaRPr>
        </a:p>
      </xdr:txBody>
    </xdr:sp>
    <xdr:clientData/>
  </xdr:twoCellAnchor>
  <xdr:twoCellAnchor>
    <xdr:from>
      <xdr:col>13</xdr:col>
      <xdr:colOff>8470</xdr:colOff>
      <xdr:row>10</xdr:row>
      <xdr:rowOff>177801</xdr:rowOff>
    </xdr:from>
    <xdr:to>
      <xdr:col>14</xdr:col>
      <xdr:colOff>306917</xdr:colOff>
      <xdr:row>12</xdr:row>
      <xdr:rowOff>95249</xdr:rowOff>
    </xdr:to>
    <xdr:sp macro="" textlink="Pivots!F3">
      <xdr:nvSpPr>
        <xdr:cNvPr id="42" name="TextBox 41">
          <a:extLst>
            <a:ext uri="{FF2B5EF4-FFF2-40B4-BE49-F238E27FC236}">
              <a16:creationId xmlns:a16="http://schemas.microsoft.com/office/drawing/2014/main" id="{00000000-0008-0000-0500-00002A000000}"/>
            </a:ext>
          </a:extLst>
        </xdr:cNvPr>
        <xdr:cNvSpPr txBox="1"/>
      </xdr:nvSpPr>
      <xdr:spPr>
        <a:xfrm>
          <a:off x="6548970" y="2040468"/>
          <a:ext cx="478364" cy="404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5901290F-7A01-4397-930B-F9A1B70867A8}" type="TxLink">
            <a:rPr lang="en-US" sz="2400" b="1">
              <a:solidFill>
                <a:srgbClr val="004B78"/>
              </a:solidFill>
              <a:latin typeface="Arial Nova Cond" panose="020B0506020202020204" pitchFamily="34" charset="0"/>
              <a:ea typeface="+mn-ea"/>
              <a:cs typeface="+mn-cs"/>
            </a:rPr>
            <a:pPr marL="0" indent="0" algn="ctr"/>
            <a:t>32</a:t>
          </a:fld>
          <a:endParaRPr lang="en-US" sz="2400" b="1">
            <a:solidFill>
              <a:srgbClr val="004B78"/>
            </a:solidFill>
            <a:latin typeface="Arial Nova Cond" panose="020B0506020202020204" pitchFamily="34" charset="0"/>
            <a:ea typeface="+mn-ea"/>
            <a:cs typeface="+mn-cs"/>
          </a:endParaRPr>
        </a:p>
      </xdr:txBody>
    </xdr:sp>
    <xdr:clientData/>
  </xdr:twoCellAnchor>
  <xdr:twoCellAnchor>
    <xdr:from>
      <xdr:col>14</xdr:col>
      <xdr:colOff>209553</xdr:colOff>
      <xdr:row>11</xdr:row>
      <xdr:rowOff>50802</xdr:rowOff>
    </xdr:from>
    <xdr:to>
      <xdr:col>16</xdr:col>
      <xdr:colOff>42335</xdr:colOff>
      <xdr:row>12</xdr:row>
      <xdr:rowOff>42334</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6929970" y="2156885"/>
          <a:ext cx="1060448" cy="234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400" b="1" i="0" u="none" strike="noStrike">
              <a:solidFill>
                <a:srgbClr val="004B78"/>
              </a:solidFill>
              <a:latin typeface="Arial Nova Cond" panose="020B0506020202020204" pitchFamily="34" charset="0"/>
              <a:ea typeface="+mn-ea"/>
              <a:cs typeface="+mn-cs"/>
            </a:rPr>
            <a:t>Training Hrs.</a:t>
          </a:r>
        </a:p>
      </xdr:txBody>
    </xdr:sp>
    <xdr:clientData/>
  </xdr:twoCellAnchor>
  <xdr:twoCellAnchor>
    <xdr:from>
      <xdr:col>16</xdr:col>
      <xdr:colOff>518584</xdr:colOff>
      <xdr:row>7</xdr:row>
      <xdr:rowOff>3</xdr:rowOff>
    </xdr:from>
    <xdr:to>
      <xdr:col>21</xdr:col>
      <xdr:colOff>41417</xdr:colOff>
      <xdr:row>12</xdr:row>
      <xdr:rowOff>169836</xdr:rowOff>
    </xdr:to>
    <xdr:sp macro="" textlink="">
      <xdr:nvSpPr>
        <xdr:cNvPr id="44" name="Rectangle: Rounded Corners 43">
          <a:extLst>
            <a:ext uri="{FF2B5EF4-FFF2-40B4-BE49-F238E27FC236}">
              <a16:creationId xmlns:a16="http://schemas.microsoft.com/office/drawing/2014/main" id="{00000000-0008-0000-0500-00002C000000}"/>
            </a:ext>
          </a:extLst>
        </xdr:cNvPr>
        <xdr:cNvSpPr/>
      </xdr:nvSpPr>
      <xdr:spPr>
        <a:xfrm>
          <a:off x="8466667" y="1439336"/>
          <a:ext cx="2592000" cy="1080000"/>
        </a:xfrm>
        <a:prstGeom prst="roundRect">
          <a:avLst>
            <a:gd name="adj" fmla="val 37261"/>
          </a:avLst>
        </a:prstGeom>
        <a:solidFill>
          <a:srgbClr val="FAE164"/>
        </a:solidFill>
        <a:ln>
          <a:noFill/>
        </a:ln>
        <a:effectLst>
          <a:outerShdw dist="63500" dir="2700000" algn="tl" rotWithShape="0">
            <a:srgbClr val="007896"/>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74083</xdr:colOff>
      <xdr:row>8</xdr:row>
      <xdr:rowOff>127086</xdr:rowOff>
    </xdr:from>
    <xdr:to>
      <xdr:col>18</xdr:col>
      <xdr:colOff>180250</xdr:colOff>
      <xdr:row>11</xdr:row>
      <xdr:rowOff>233253</xdr:rowOff>
    </xdr:to>
    <xdr:sp macro="" textlink="">
      <xdr:nvSpPr>
        <xdr:cNvPr id="45" name="Oval 44">
          <a:extLst>
            <a:ext uri="{FF2B5EF4-FFF2-40B4-BE49-F238E27FC236}">
              <a16:creationId xmlns:a16="http://schemas.microsoft.com/office/drawing/2014/main" id="{00000000-0008-0000-0500-00002D000000}"/>
            </a:ext>
          </a:extLst>
        </xdr:cNvPr>
        <xdr:cNvSpPr/>
      </xdr:nvSpPr>
      <xdr:spPr>
        <a:xfrm>
          <a:off x="8636000" y="1619336"/>
          <a:ext cx="720000" cy="7200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300570</xdr:colOff>
      <xdr:row>8</xdr:row>
      <xdr:rowOff>25402</xdr:rowOff>
    </xdr:from>
    <xdr:to>
      <xdr:col>20</xdr:col>
      <xdr:colOff>74084</xdr:colOff>
      <xdr:row>9</xdr:row>
      <xdr:rowOff>10584</xdr:rowOff>
    </xdr:to>
    <xdr:sp macro="" textlink="">
      <xdr:nvSpPr>
        <xdr:cNvPr id="46" name="TextBox 45">
          <a:extLst>
            <a:ext uri="{FF2B5EF4-FFF2-40B4-BE49-F238E27FC236}">
              <a16:creationId xmlns:a16="http://schemas.microsoft.com/office/drawing/2014/main" id="{00000000-0008-0000-0500-00002E000000}"/>
            </a:ext>
          </a:extLst>
        </xdr:cNvPr>
        <xdr:cNvSpPr txBox="1"/>
      </xdr:nvSpPr>
      <xdr:spPr>
        <a:xfrm>
          <a:off x="9476320" y="1517652"/>
          <a:ext cx="1001181" cy="30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600" b="1">
              <a:solidFill>
                <a:srgbClr val="004B78"/>
              </a:solidFill>
              <a:latin typeface="Arial Nova Cond" panose="020B0506020202020204" pitchFamily="34" charset="0"/>
              <a:ea typeface="+mn-ea"/>
              <a:cs typeface="+mn-cs"/>
            </a:rPr>
            <a:t>Top Trainee</a:t>
          </a:r>
        </a:p>
      </xdr:txBody>
    </xdr:sp>
    <xdr:clientData/>
  </xdr:twoCellAnchor>
  <xdr:twoCellAnchor>
    <xdr:from>
      <xdr:col>18</xdr:col>
      <xdr:colOff>241303</xdr:colOff>
      <xdr:row>8</xdr:row>
      <xdr:rowOff>304802</xdr:rowOff>
    </xdr:from>
    <xdr:to>
      <xdr:col>20</xdr:col>
      <xdr:colOff>42333</xdr:colOff>
      <xdr:row>10</xdr:row>
      <xdr:rowOff>232834</xdr:rowOff>
    </xdr:to>
    <xdr:sp macro="" textlink="Pivots!H3">
      <xdr:nvSpPr>
        <xdr:cNvPr id="47" name="TextBox 46">
          <a:extLst>
            <a:ext uri="{FF2B5EF4-FFF2-40B4-BE49-F238E27FC236}">
              <a16:creationId xmlns:a16="http://schemas.microsoft.com/office/drawing/2014/main" id="{00000000-0008-0000-0500-00002F000000}"/>
            </a:ext>
          </a:extLst>
        </xdr:cNvPr>
        <xdr:cNvSpPr txBox="1"/>
      </xdr:nvSpPr>
      <xdr:spPr>
        <a:xfrm>
          <a:off x="9417053" y="1797052"/>
          <a:ext cx="1028697" cy="29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BBADA981-E6A1-4006-B286-3D4FA2C56DCF}" type="TxLink">
            <a:rPr lang="en-US" sz="1400" b="1">
              <a:solidFill>
                <a:srgbClr val="E6325A"/>
              </a:solidFill>
              <a:latin typeface="Arial Nova Cond" panose="020B0506020202020204" pitchFamily="34" charset="0"/>
              <a:ea typeface="+mn-ea"/>
              <a:cs typeface="+mn-cs"/>
            </a:rPr>
            <a:pPr marL="0" indent="0" algn="ctr"/>
            <a:t>Emplyee081</a:t>
          </a:fld>
          <a:endParaRPr lang="en-US" sz="1400" b="1">
            <a:solidFill>
              <a:srgbClr val="E6325A"/>
            </a:solidFill>
            <a:latin typeface="Arial Nova Cond" panose="020B0506020202020204" pitchFamily="34" charset="0"/>
            <a:ea typeface="+mn-ea"/>
            <a:cs typeface="+mn-cs"/>
          </a:endParaRPr>
        </a:p>
      </xdr:txBody>
    </xdr:sp>
    <xdr:clientData/>
  </xdr:twoCellAnchor>
  <xdr:twoCellAnchor>
    <xdr:from>
      <xdr:col>18</xdr:col>
      <xdr:colOff>209553</xdr:colOff>
      <xdr:row>10</xdr:row>
      <xdr:rowOff>198968</xdr:rowOff>
    </xdr:from>
    <xdr:to>
      <xdr:col>19</xdr:col>
      <xdr:colOff>74084</xdr:colOff>
      <xdr:row>12</xdr:row>
      <xdr:rowOff>116416</xdr:rowOff>
    </xdr:to>
    <xdr:sp macro="" textlink="Pivots!I3">
      <xdr:nvSpPr>
        <xdr:cNvPr id="48" name="TextBox 47">
          <a:extLst>
            <a:ext uri="{FF2B5EF4-FFF2-40B4-BE49-F238E27FC236}">
              <a16:creationId xmlns:a16="http://schemas.microsoft.com/office/drawing/2014/main" id="{00000000-0008-0000-0500-000030000000}"/>
            </a:ext>
          </a:extLst>
        </xdr:cNvPr>
        <xdr:cNvSpPr txBox="1"/>
      </xdr:nvSpPr>
      <xdr:spPr>
        <a:xfrm>
          <a:off x="9385303" y="2061635"/>
          <a:ext cx="478364" cy="404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9575EEDC-6F00-4B43-A5D0-11EE90C3D4B2}" type="TxLink">
            <a:rPr lang="en-US" sz="2400" b="1">
              <a:solidFill>
                <a:srgbClr val="004B78"/>
              </a:solidFill>
              <a:latin typeface="Arial Nova Cond" panose="020B0506020202020204" pitchFamily="34" charset="0"/>
              <a:ea typeface="+mn-ea"/>
              <a:cs typeface="+mn-cs"/>
            </a:rPr>
            <a:pPr marL="0" indent="0" algn="ctr"/>
            <a:t>56</a:t>
          </a:fld>
          <a:endParaRPr lang="en-US" sz="2400" b="1">
            <a:solidFill>
              <a:srgbClr val="004B78"/>
            </a:solidFill>
            <a:latin typeface="Arial Nova Cond" panose="020B0506020202020204" pitchFamily="34" charset="0"/>
            <a:ea typeface="+mn-ea"/>
            <a:cs typeface="+mn-cs"/>
          </a:endParaRPr>
        </a:p>
      </xdr:txBody>
    </xdr:sp>
    <xdr:clientData/>
  </xdr:twoCellAnchor>
  <xdr:twoCellAnchor>
    <xdr:from>
      <xdr:col>18</xdr:col>
      <xdr:colOff>579970</xdr:colOff>
      <xdr:row>11</xdr:row>
      <xdr:rowOff>71969</xdr:rowOff>
    </xdr:from>
    <xdr:to>
      <xdr:col>20</xdr:col>
      <xdr:colOff>412751</xdr:colOff>
      <xdr:row>12</xdr:row>
      <xdr:rowOff>63501</xdr:rowOff>
    </xdr:to>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9755720" y="2178052"/>
          <a:ext cx="1060448" cy="234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400" b="1" i="0" u="none" strike="noStrike">
              <a:solidFill>
                <a:srgbClr val="004B78"/>
              </a:solidFill>
              <a:latin typeface="Arial Nova Cond" panose="020B0506020202020204" pitchFamily="34" charset="0"/>
              <a:ea typeface="+mn-ea"/>
              <a:cs typeface="+mn-cs"/>
            </a:rPr>
            <a:t>Training Hrs.</a:t>
          </a:r>
        </a:p>
      </xdr:txBody>
    </xdr:sp>
    <xdr:clientData/>
  </xdr:twoCellAnchor>
  <xdr:twoCellAnchor editAs="oneCell">
    <xdr:from>
      <xdr:col>7</xdr:col>
      <xdr:colOff>143042</xdr:colOff>
      <xdr:row>8</xdr:row>
      <xdr:rowOff>174878</xdr:rowOff>
    </xdr:from>
    <xdr:to>
      <xdr:col>8</xdr:col>
      <xdr:colOff>111292</xdr:colOff>
      <xdr:row>11</xdr:row>
      <xdr:rowOff>143128</xdr:rowOff>
    </xdr:to>
    <xdr:pic>
      <xdr:nvPicPr>
        <xdr:cNvPr id="51" name="Graphic 50" descr="Medal with solid fill">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000542" y="1667128"/>
          <a:ext cx="582083" cy="582083"/>
        </a:xfrm>
        <a:prstGeom prst="rect">
          <a:avLst/>
        </a:prstGeom>
      </xdr:spPr>
    </xdr:pic>
    <xdr:clientData/>
  </xdr:twoCellAnchor>
  <xdr:twoCellAnchor editAs="oneCell">
    <xdr:from>
      <xdr:col>17</xdr:col>
      <xdr:colOff>181000</xdr:colOff>
      <xdr:row>8</xdr:row>
      <xdr:rowOff>213500</xdr:rowOff>
    </xdr:from>
    <xdr:to>
      <xdr:col>18</xdr:col>
      <xdr:colOff>73334</xdr:colOff>
      <xdr:row>11</xdr:row>
      <xdr:rowOff>105834</xdr:rowOff>
    </xdr:to>
    <xdr:pic>
      <xdr:nvPicPr>
        <xdr:cNvPr id="53" name="Graphic 52" descr="Podium with solid fill">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742917" y="1705750"/>
          <a:ext cx="506167" cy="506167"/>
        </a:xfrm>
        <a:prstGeom prst="rect">
          <a:avLst/>
        </a:prstGeom>
      </xdr:spPr>
    </xdr:pic>
    <xdr:clientData/>
  </xdr:twoCellAnchor>
  <xdr:twoCellAnchor editAs="oneCell">
    <xdr:from>
      <xdr:col>11</xdr:col>
      <xdr:colOff>548876</xdr:colOff>
      <xdr:row>8</xdr:row>
      <xdr:rowOff>197878</xdr:rowOff>
    </xdr:from>
    <xdr:to>
      <xdr:col>12</xdr:col>
      <xdr:colOff>471125</xdr:colOff>
      <xdr:row>11</xdr:row>
      <xdr:rowOff>120128</xdr:rowOff>
    </xdr:to>
    <xdr:pic>
      <xdr:nvPicPr>
        <xdr:cNvPr id="55" name="Graphic 54" descr="Classroom with solid fill">
          <a:extLst>
            <a:ext uri="{FF2B5EF4-FFF2-40B4-BE49-F238E27FC236}">
              <a16:creationId xmlns:a16="http://schemas.microsoft.com/office/drawing/2014/main" id="{00000000-0008-0000-0500-00003700000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861709" y="1690128"/>
          <a:ext cx="536083" cy="53608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209550</xdr:colOff>
          <xdr:row>12</xdr:row>
          <xdr:rowOff>209550</xdr:rowOff>
        </xdr:from>
        <xdr:to>
          <xdr:col>12</xdr:col>
          <xdr:colOff>447675</xdr:colOff>
          <xdr:row>13</xdr:row>
          <xdr:rowOff>209550</xdr:rowOff>
        </xdr:to>
        <xdr:sp macro="" textlink="">
          <xdr:nvSpPr>
            <xdr:cNvPr id="5123" name="Group Box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12</xdr:row>
          <xdr:rowOff>190500</xdr:rowOff>
        </xdr:from>
        <xdr:to>
          <xdr:col>8</xdr:col>
          <xdr:colOff>485775</xdr:colOff>
          <xdr:row>13</xdr:row>
          <xdr:rowOff>219075</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12</xdr:row>
          <xdr:rowOff>209550</xdr:rowOff>
        </xdr:from>
        <xdr:to>
          <xdr:col>10</xdr:col>
          <xdr:colOff>542925</xdr:colOff>
          <xdr:row>13</xdr:row>
          <xdr:rowOff>219075</xdr:rowOff>
        </xdr:to>
        <xdr:sp macro="" textlink="">
          <xdr:nvSpPr>
            <xdr:cNvPr id="5125" name="Option Button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410637</xdr:colOff>
      <xdr:row>12</xdr:row>
      <xdr:rowOff>230719</xdr:rowOff>
    </xdr:from>
    <xdr:to>
      <xdr:col>10</xdr:col>
      <xdr:colOff>264583</xdr:colOff>
      <xdr:row>13</xdr:row>
      <xdr:rowOff>190500</xdr:rowOff>
    </xdr:to>
    <xdr:sp macro="" textlink="">
      <xdr:nvSpPr>
        <xdr:cNvPr id="56" name="TextBox 55">
          <a:extLst>
            <a:ext uri="{FF2B5EF4-FFF2-40B4-BE49-F238E27FC236}">
              <a16:creationId xmlns:a16="http://schemas.microsoft.com/office/drawing/2014/main" id="{00000000-0008-0000-0500-000038000000}"/>
            </a:ext>
          </a:extLst>
        </xdr:cNvPr>
        <xdr:cNvSpPr txBox="1"/>
      </xdr:nvSpPr>
      <xdr:spPr>
        <a:xfrm>
          <a:off x="3881970" y="2580219"/>
          <a:ext cx="1081613" cy="203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200" b="1" i="0" u="none" strike="noStrike">
              <a:solidFill>
                <a:schemeClr val="tx1"/>
              </a:solidFill>
              <a:latin typeface="Segoe UI Semibold" panose="020B0702040204020203" pitchFamily="34" charset="0"/>
              <a:ea typeface="+mn-ea"/>
              <a:cs typeface="Segoe UI Semibold" panose="020B0702040204020203" pitchFamily="34" charset="0"/>
            </a:rPr>
            <a:t>Training Hours</a:t>
          </a:r>
        </a:p>
      </xdr:txBody>
    </xdr:sp>
    <xdr:clientData/>
  </xdr:twoCellAnchor>
  <xdr:twoCellAnchor>
    <xdr:from>
      <xdr:col>10</xdr:col>
      <xdr:colOff>484720</xdr:colOff>
      <xdr:row>13</xdr:row>
      <xdr:rowOff>8468</xdr:rowOff>
    </xdr:from>
    <xdr:to>
      <xdr:col>12</xdr:col>
      <xdr:colOff>338666</xdr:colOff>
      <xdr:row>13</xdr:row>
      <xdr:rowOff>190500</xdr:rowOff>
    </xdr:to>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5183720" y="2601385"/>
          <a:ext cx="1081613" cy="182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200" b="1" i="0" u="none" strike="noStrike">
              <a:solidFill>
                <a:schemeClr val="tx1"/>
              </a:solidFill>
              <a:latin typeface="Segoe UI Semibold" panose="020B0702040204020203" pitchFamily="34" charset="0"/>
              <a:ea typeface="+mn-ea"/>
              <a:cs typeface="Segoe UI Semibold" panose="020B0702040204020203" pitchFamily="34" charset="0"/>
            </a:rPr>
            <a:t>No. Of Trainee</a:t>
          </a:r>
        </a:p>
      </xdr:txBody>
    </xdr:sp>
    <xdr:clientData/>
  </xdr:twoCellAnchor>
  <xdr:twoCellAnchor>
    <xdr:from>
      <xdr:col>6</xdr:col>
      <xdr:colOff>10583</xdr:colOff>
      <xdr:row>15</xdr:row>
      <xdr:rowOff>21168</xdr:rowOff>
    </xdr:from>
    <xdr:to>
      <xdr:col>12</xdr:col>
      <xdr:colOff>556416</xdr:colOff>
      <xdr:row>23</xdr:row>
      <xdr:rowOff>161835</xdr:rowOff>
    </xdr:to>
    <xdr:graphicFrame macro="">
      <xdr:nvGraphicFramePr>
        <xdr:cNvPr id="58" name="Chart 57">
          <a:extLst>
            <a:ext uri="{FF2B5EF4-FFF2-40B4-BE49-F238E27FC236}">
              <a16:creationId xmlns:a16="http://schemas.microsoft.com/office/drawing/2014/main" id="{00000000-0008-0000-05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148167</xdr:colOff>
      <xdr:row>25</xdr:row>
      <xdr:rowOff>63499</xdr:rowOff>
    </xdr:from>
    <xdr:to>
      <xdr:col>12</xdr:col>
      <xdr:colOff>550083</xdr:colOff>
      <xdr:row>35</xdr:row>
      <xdr:rowOff>77333</xdr:rowOff>
    </xdr:to>
    <xdr:graphicFrame macro="">
      <xdr:nvGraphicFramePr>
        <xdr:cNvPr id="59" name="Chart 58">
          <a:extLst>
            <a:ext uri="{FF2B5EF4-FFF2-40B4-BE49-F238E27FC236}">
              <a16:creationId xmlns:a16="http://schemas.microsoft.com/office/drawing/2014/main" id="{00000000-0008-0000-05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0</xdr:colOff>
      <xdr:row>15</xdr:row>
      <xdr:rowOff>59531</xdr:rowOff>
    </xdr:from>
    <xdr:to>
      <xdr:col>20</xdr:col>
      <xdr:colOff>568687</xdr:colOff>
      <xdr:row>23</xdr:row>
      <xdr:rowOff>147281</xdr:rowOff>
    </xdr:to>
    <xdr:graphicFrame macro="">
      <xdr:nvGraphicFramePr>
        <xdr:cNvPr id="60" name="Chart 59">
          <a:extLst>
            <a:ext uri="{FF2B5EF4-FFF2-40B4-BE49-F238E27FC236}">
              <a16:creationId xmlns:a16="http://schemas.microsoft.com/office/drawing/2014/main" id="{00000000-0008-0000-05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166688</xdr:colOff>
      <xdr:row>25</xdr:row>
      <xdr:rowOff>95250</xdr:rowOff>
    </xdr:from>
    <xdr:to>
      <xdr:col>20</xdr:col>
      <xdr:colOff>556781</xdr:colOff>
      <xdr:row>35</xdr:row>
      <xdr:rowOff>42938</xdr:rowOff>
    </xdr:to>
    <xdr:graphicFrame macro="">
      <xdr:nvGraphicFramePr>
        <xdr:cNvPr id="61" name="Chart 60">
          <a:extLst>
            <a:ext uri="{FF2B5EF4-FFF2-40B4-BE49-F238E27FC236}">
              <a16:creationId xmlns:a16="http://schemas.microsoft.com/office/drawing/2014/main" id="{00000000-0008-0000-05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22</xdr:col>
      <xdr:colOff>47626</xdr:colOff>
      <xdr:row>3</xdr:row>
      <xdr:rowOff>59531</xdr:rowOff>
    </xdr:from>
    <xdr:to>
      <xdr:col>27</xdr:col>
      <xdr:colOff>619125</xdr:colOff>
      <xdr:row>13</xdr:row>
      <xdr:rowOff>190500</xdr:rowOff>
    </xdr:to>
    <xdr:graphicFrame macro="">
      <xdr:nvGraphicFramePr>
        <xdr:cNvPr id="63" name="Chart 62">
          <a:extLst>
            <a:ext uri="{FF2B5EF4-FFF2-40B4-BE49-F238E27FC236}">
              <a16:creationId xmlns:a16="http://schemas.microsoft.com/office/drawing/2014/main" id="{00000000-0008-0000-05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104775</xdr:colOff>
          <xdr:row>16</xdr:row>
          <xdr:rowOff>9525</xdr:rowOff>
        </xdr:from>
        <xdr:to>
          <xdr:col>23</xdr:col>
          <xdr:colOff>38100</xdr:colOff>
          <xdr:row>22</xdr:row>
          <xdr:rowOff>190500</xdr:rowOff>
        </xdr:to>
        <xdr:sp macro="" textlink="">
          <xdr:nvSpPr>
            <xdr:cNvPr id="5126" name="Scroll Bar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23</xdr:col>
      <xdr:colOff>95251</xdr:colOff>
      <xdr:row>15</xdr:row>
      <xdr:rowOff>130969</xdr:rowOff>
    </xdr:from>
    <xdr:to>
      <xdr:col>27</xdr:col>
      <xdr:colOff>559595</xdr:colOff>
      <xdr:row>23</xdr:row>
      <xdr:rowOff>83344</xdr:rowOff>
    </xdr:to>
    <xdr:graphicFrame macro="">
      <xdr:nvGraphicFramePr>
        <xdr:cNvPr id="5120" name="Chart 5119">
          <a:extLst>
            <a:ext uri="{FF2B5EF4-FFF2-40B4-BE49-F238E27FC236}">
              <a16:creationId xmlns:a16="http://schemas.microsoft.com/office/drawing/2014/main" id="{00000000-0008-0000-0500-000000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22</xdr:col>
      <xdr:colOff>130968</xdr:colOff>
      <xdr:row>15</xdr:row>
      <xdr:rowOff>23812</xdr:rowOff>
    </xdr:from>
    <xdr:to>
      <xdr:col>23</xdr:col>
      <xdr:colOff>37968</xdr:colOff>
      <xdr:row>15</xdr:row>
      <xdr:rowOff>203812</xdr:rowOff>
    </xdr:to>
    <xdr:sp macro="" textlink="">
      <xdr:nvSpPr>
        <xdr:cNvPr id="5127" name="Isosceles Triangle 5126">
          <a:extLst>
            <a:ext uri="{FF2B5EF4-FFF2-40B4-BE49-F238E27FC236}">
              <a16:creationId xmlns:a16="http://schemas.microsoft.com/office/drawing/2014/main" id="{00000000-0008-0000-0500-000007140000}"/>
            </a:ext>
          </a:extLst>
        </xdr:cNvPr>
        <xdr:cNvSpPr/>
      </xdr:nvSpPr>
      <xdr:spPr>
        <a:xfrm>
          <a:off x="11227593" y="3131343"/>
          <a:ext cx="288000" cy="180000"/>
        </a:xfrm>
        <a:prstGeom prst="triangle">
          <a:avLst/>
        </a:prstGeom>
        <a:solidFill>
          <a:srgbClr val="00416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128587</xdr:colOff>
      <xdr:row>23</xdr:row>
      <xdr:rowOff>9524</xdr:rowOff>
    </xdr:from>
    <xdr:to>
      <xdr:col>23</xdr:col>
      <xdr:colOff>35587</xdr:colOff>
      <xdr:row>23</xdr:row>
      <xdr:rowOff>189524</xdr:rowOff>
    </xdr:to>
    <xdr:sp macro="" textlink="">
      <xdr:nvSpPr>
        <xdr:cNvPr id="5128" name="Isosceles Triangle 5127">
          <a:extLst>
            <a:ext uri="{FF2B5EF4-FFF2-40B4-BE49-F238E27FC236}">
              <a16:creationId xmlns:a16="http://schemas.microsoft.com/office/drawing/2014/main" id="{00000000-0008-0000-0500-000008140000}"/>
            </a:ext>
          </a:extLst>
        </xdr:cNvPr>
        <xdr:cNvSpPr/>
      </xdr:nvSpPr>
      <xdr:spPr>
        <a:xfrm rot="10800000">
          <a:off x="11225212" y="5117305"/>
          <a:ext cx="288000" cy="180000"/>
        </a:xfrm>
        <a:prstGeom prst="triangle">
          <a:avLst/>
        </a:prstGeom>
        <a:solidFill>
          <a:srgbClr val="00416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22</xdr:col>
          <xdr:colOff>28575</xdr:colOff>
          <xdr:row>25</xdr:row>
          <xdr:rowOff>28575</xdr:rowOff>
        </xdr:from>
        <xdr:to>
          <xdr:col>27</xdr:col>
          <xdr:colOff>638175</xdr:colOff>
          <xdr:row>26</xdr:row>
          <xdr:rowOff>85725</xdr:rowOff>
        </xdr:to>
        <xdr:sp macro="" textlink="">
          <xdr:nvSpPr>
            <xdr:cNvPr id="5130" name="Group Box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85725</xdr:colOff>
          <xdr:row>25</xdr:row>
          <xdr:rowOff>66675</xdr:rowOff>
        </xdr:from>
        <xdr:to>
          <xdr:col>22</xdr:col>
          <xdr:colOff>295275</xdr:colOff>
          <xdr:row>26</xdr:row>
          <xdr:rowOff>38100</xdr:rowOff>
        </xdr:to>
        <xdr:sp macro="" textlink="">
          <xdr:nvSpPr>
            <xdr:cNvPr id="5131" name="Option Button 11" hidden="1">
              <a:extLst>
                <a:ext uri="{63B3BB69-23CF-44E3-9099-C40C66FF867C}">
                  <a14:compatExt spid="_x0000_s5131"/>
                </a:ext>
                <a:ext uri="{FF2B5EF4-FFF2-40B4-BE49-F238E27FC236}">
                  <a16:creationId xmlns:a16="http://schemas.microsoft.com/office/drawing/2014/main" id="{00000000-0008-0000-05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22</xdr:col>
      <xdr:colOff>266707</xdr:colOff>
      <xdr:row>25</xdr:row>
      <xdr:rowOff>69056</xdr:rowOff>
    </xdr:from>
    <xdr:to>
      <xdr:col>24</xdr:col>
      <xdr:colOff>464343</xdr:colOff>
      <xdr:row>26</xdr:row>
      <xdr:rowOff>44447</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363332" y="5676900"/>
          <a:ext cx="1269199" cy="225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400" b="1">
              <a:solidFill>
                <a:schemeClr val="tx1"/>
              </a:solidFill>
            </a:rPr>
            <a:t>Training Hours</a:t>
          </a:r>
        </a:p>
      </xdr:txBody>
    </xdr:sp>
    <xdr:clientData/>
  </xdr:twoCellAnchor>
  <xdr:twoCellAnchor>
    <xdr:from>
      <xdr:col>25</xdr:col>
      <xdr:colOff>64302</xdr:colOff>
      <xdr:row>25</xdr:row>
      <xdr:rowOff>80962</xdr:rowOff>
    </xdr:from>
    <xdr:to>
      <xdr:col>27</xdr:col>
      <xdr:colOff>345281</xdr:colOff>
      <xdr:row>26</xdr:row>
      <xdr:rowOff>35718</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12923052" y="5688806"/>
          <a:ext cx="1662104"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400" b="1">
              <a:solidFill>
                <a:schemeClr val="tx1"/>
              </a:solidFill>
            </a:rPr>
            <a:t>Avg Training Hrs/Emp</a:t>
          </a:r>
        </a:p>
      </xdr:txBody>
    </xdr:sp>
    <xdr:clientData/>
  </xdr:twoCellAnchor>
  <xdr:twoCellAnchor>
    <xdr:from>
      <xdr:col>22</xdr:col>
      <xdr:colOff>35719</xdr:colOff>
      <xdr:row>26</xdr:row>
      <xdr:rowOff>130969</xdr:rowOff>
    </xdr:from>
    <xdr:to>
      <xdr:col>27</xdr:col>
      <xdr:colOff>631031</xdr:colOff>
      <xdr:row>34</xdr:row>
      <xdr:rowOff>202406</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8"/>
            </a:graphicData>
          </a:graphic>
        </xdr:graphicFrame>
      </mc:Choice>
      <mc:Fallback>
        <xdr:sp macro="" textlink="">
          <xdr:nvSpPr>
            <xdr:cNvPr id="0" name=""/>
            <xdr:cNvSpPr>
              <a:spLocks noTextEdit="1"/>
            </xdr:cNvSpPr>
          </xdr:nvSpPr>
          <xdr:spPr>
            <a:xfrm>
              <a:off x="11189494" y="5960269"/>
              <a:ext cx="3719512" cy="20526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24</xdr:col>
          <xdr:colOff>523875</xdr:colOff>
          <xdr:row>25</xdr:row>
          <xdr:rowOff>66675</xdr:rowOff>
        </xdr:from>
        <xdr:to>
          <xdr:col>25</xdr:col>
          <xdr:colOff>47625</xdr:colOff>
          <xdr:row>26</xdr:row>
          <xdr:rowOff>38100</xdr:rowOff>
        </xdr:to>
        <xdr:sp macro="" textlink="">
          <xdr:nvSpPr>
            <xdr:cNvPr id="5133" name="Option Button 13"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59531</xdr:colOff>
      <xdr:row>10</xdr:row>
      <xdr:rowOff>45245</xdr:rowOff>
    </xdr:from>
    <xdr:to>
      <xdr:col>4</xdr:col>
      <xdr:colOff>583406</xdr:colOff>
      <xdr:row>20</xdr:row>
      <xdr:rowOff>95249</xdr:rowOff>
    </xdr:to>
    <mc:AlternateContent xmlns:mc="http://schemas.openxmlformats.org/markup-compatibility/2006">
      <mc:Choice xmlns:a14="http://schemas.microsoft.com/office/drawing/2010/main" Requires="a14">
        <xdr:graphicFrame macro="">
          <xdr:nvGraphicFramePr>
            <xdr:cNvPr id="2" name="Department">
              <a:extLst>
                <a:ext uri="{FF2B5EF4-FFF2-40B4-BE49-F238E27FC236}">
                  <a16:creationId xmlns:a16="http://schemas.microsoft.com/office/drawing/2014/main" id="{3DF9FD40-1AAA-6479-15CF-D303D62D576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238125" y="1902620"/>
              <a:ext cx="1988344" cy="2550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119063</xdr:colOff>
      <xdr:row>2</xdr:row>
      <xdr:rowOff>45244</xdr:rowOff>
    </xdr:from>
    <xdr:to>
      <xdr:col>20</xdr:col>
      <xdr:colOff>462078</xdr:colOff>
      <xdr:row>6</xdr:row>
      <xdr:rowOff>226218</xdr:rowOff>
    </xdr:to>
    <mc:AlternateContent xmlns:mc="http://schemas.openxmlformats.org/markup-compatibility/2006" xmlns:a14="http://schemas.microsoft.com/office/drawing/2010/main">
      <mc:Choice Requires="a14">
        <xdr:graphicFrame macro="">
          <xdr:nvGraphicFramePr>
            <xdr:cNvPr id="3" name="Date (Month)">
              <a:extLst>
                <a:ext uri="{FF2B5EF4-FFF2-40B4-BE49-F238E27FC236}">
                  <a16:creationId xmlns:a16="http://schemas.microsoft.com/office/drawing/2014/main" id="{1B014AD2-AE3B-EDA7-5E4F-FCC173C36CE2}"/>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6786563" y="426244"/>
              <a:ext cx="3986328" cy="9191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59530</xdr:colOff>
      <xdr:row>20</xdr:row>
      <xdr:rowOff>164309</xdr:rowOff>
    </xdr:from>
    <xdr:to>
      <xdr:col>4</xdr:col>
      <xdr:colOff>583406</xdr:colOff>
      <xdr:row>26</xdr:row>
      <xdr:rowOff>32122</xdr:rowOff>
    </xdr:to>
    <mc:AlternateContent xmlns:mc="http://schemas.openxmlformats.org/markup-compatibility/2006">
      <mc:Choice xmlns:a14="http://schemas.microsoft.com/office/drawing/2010/main" Requires="a14">
        <xdr:graphicFrame macro="">
          <xdr:nvGraphicFramePr>
            <xdr:cNvPr id="4" name="Trainer">
              <a:extLst>
                <a:ext uri="{FF2B5EF4-FFF2-40B4-BE49-F238E27FC236}">
                  <a16:creationId xmlns:a16="http://schemas.microsoft.com/office/drawing/2014/main" id="{26CBC596-76DF-4339-2730-E9A564A2FE09}"/>
                </a:ext>
              </a:extLst>
            </xdr:cNvPr>
            <xdr:cNvGraphicFramePr/>
          </xdr:nvGraphicFramePr>
          <xdr:xfrm>
            <a:off x="0" y="0"/>
            <a:ext cx="0" cy="0"/>
          </xdr:xfrm>
          <a:graphic>
            <a:graphicData uri="http://schemas.microsoft.com/office/drawing/2010/slicer">
              <sle:slicer xmlns:sle="http://schemas.microsoft.com/office/drawing/2010/slicer" name="Trainer"/>
            </a:graphicData>
          </a:graphic>
        </xdr:graphicFrame>
      </mc:Choice>
      <mc:Fallback>
        <xdr:sp macro="" textlink="">
          <xdr:nvSpPr>
            <xdr:cNvPr id="0" name=""/>
            <xdr:cNvSpPr>
              <a:spLocks noTextEdit="1"/>
            </xdr:cNvSpPr>
          </xdr:nvSpPr>
          <xdr:spPr>
            <a:xfrm>
              <a:off x="238124" y="4521997"/>
              <a:ext cx="1988345" cy="136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59529</xdr:colOff>
      <xdr:row>26</xdr:row>
      <xdr:rowOff>116682</xdr:rowOff>
    </xdr:from>
    <xdr:to>
      <xdr:col>4</xdr:col>
      <xdr:colOff>595311</xdr:colOff>
      <xdr:row>35</xdr:row>
      <xdr:rowOff>166688</xdr:rowOff>
    </xdr:to>
    <mc:AlternateContent xmlns:mc="http://schemas.openxmlformats.org/markup-compatibility/2006">
      <mc:Choice xmlns:a14="http://schemas.microsoft.com/office/drawing/2010/main" Requires="a14">
        <xdr:graphicFrame macro="">
          <xdr:nvGraphicFramePr>
            <xdr:cNvPr id="7" name="Training Topic">
              <a:extLst>
                <a:ext uri="{FF2B5EF4-FFF2-40B4-BE49-F238E27FC236}">
                  <a16:creationId xmlns:a16="http://schemas.microsoft.com/office/drawing/2014/main" id="{FC2868D7-4F93-421C-621D-8061ADFCEB5B}"/>
                </a:ext>
              </a:extLst>
            </xdr:cNvPr>
            <xdr:cNvGraphicFramePr/>
          </xdr:nvGraphicFramePr>
          <xdr:xfrm>
            <a:off x="0" y="0"/>
            <a:ext cx="0" cy="0"/>
          </xdr:xfrm>
          <a:graphic>
            <a:graphicData uri="http://schemas.microsoft.com/office/drawing/2010/slicer">
              <sle:slicer xmlns:sle="http://schemas.microsoft.com/office/drawing/2010/slicer" name="Training Topic"/>
            </a:graphicData>
          </a:graphic>
        </xdr:graphicFrame>
      </mc:Choice>
      <mc:Fallback>
        <xdr:sp macro="" textlink="">
          <xdr:nvSpPr>
            <xdr:cNvPr id="0" name=""/>
            <xdr:cNvSpPr>
              <a:spLocks noTextEdit="1"/>
            </xdr:cNvSpPr>
          </xdr:nvSpPr>
          <xdr:spPr>
            <a:xfrm>
              <a:off x="238123" y="5974557"/>
              <a:ext cx="2000251" cy="23002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31229</xdr:colOff>
      <xdr:row>7</xdr:row>
      <xdr:rowOff>58869</xdr:rowOff>
    </xdr:from>
    <xdr:to>
      <xdr:col>24</xdr:col>
      <xdr:colOff>631031</xdr:colOff>
      <xdr:row>10</xdr:row>
      <xdr:rowOff>143536</xdr:rowOff>
    </xdr:to>
    <xdr:sp macro="" textlink="'Master Data'!AC1">
      <xdr:nvSpPr>
        <xdr:cNvPr id="16" name="TextBox 15">
          <a:extLst>
            <a:ext uri="{FF2B5EF4-FFF2-40B4-BE49-F238E27FC236}">
              <a16:creationId xmlns:a16="http://schemas.microsoft.com/office/drawing/2014/main" id="{41F6AA27-82C9-AC6B-7EAB-9F79E48FE971}"/>
            </a:ext>
          </a:extLst>
        </xdr:cNvPr>
        <xdr:cNvSpPr txBox="1"/>
      </xdr:nvSpPr>
      <xdr:spPr>
        <a:xfrm>
          <a:off x="12199417" y="1487619"/>
          <a:ext cx="599802" cy="513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DB57C327-A238-4ED7-9B06-95AE049416DF}" type="TxLink">
            <a:rPr lang="en-US" sz="2800" b="1" i="0" u="none" strike="noStrike">
              <a:solidFill>
                <a:schemeClr val="tx1"/>
              </a:solidFill>
              <a:latin typeface="Arial Nova Cond" panose="020B0506020202020204" pitchFamily="34" charset="0"/>
            </a:rPr>
            <a:t>96</a:t>
          </a:fld>
          <a:endParaRPr lang="en-US" sz="4000" b="1">
            <a:solidFill>
              <a:schemeClr val="tx1"/>
            </a:solidFill>
            <a:latin typeface="Arial Nova Cond" panose="020B05060202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6810416667" backgroundQuery="1" createdVersion="8" refreshedVersion="8" minRefreshableVersion="3" recordCount="0" supportSubquery="1" supportAdvancedDrill="1" xr:uid="{DA422ACF-3FA1-4D07-B832-F62571004F56}">
  <cacheSource type="external" connectionId="1"/>
  <cacheFields count="3">
    <cacheField name="[tbl_EmpDatabase].[Status].[Status]" caption="Status" numFmtId="0" hierarchy="6" level="1">
      <sharedItems count="3">
        <s v="&lt;80%"/>
        <s v="&gt;100%"/>
        <s v="80-100%"/>
      </sharedItems>
    </cacheField>
    <cacheField name="[Measures].[Count of Employee ID 2]" caption="Count of Employee ID 2" numFmtId="0" hierarchy="32" level="32767"/>
    <cacheField name="[tbl_EmpDatabase].[Department].[Department]" caption="Department" numFmtId="0" hierarchy="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2" memberValueDatatype="130" unbalanced="0">
      <fieldsUsage count="2">
        <fieldUsage x="-1"/>
        <fieldUsage x="2"/>
      </fieldsUsage>
    </cacheHierarchy>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2" memberValueDatatype="130" unbalanced="0">
      <fieldsUsage count="2">
        <fieldUsage x="-1"/>
        <fieldUsage x="0"/>
      </fieldsUsage>
    </cacheHierarchy>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0" memberValueDatatype="130" unbalanced="0"/>
    <cacheHierarchy uniqueName="[tbl_TrainingRecords].[Trainer]" caption="Trainer" attribute="1" defaultMemberUniqueName="[tbl_TrainingRecords].[Trainer].[All]" allUniqueName="[tbl_TrainingRecords].[Trainer].[All]" dimensionUniqueName="[tbl_TrainingRecords]" displayFolder="" count="0" memberValueDatatype="130" unbalanced="0"/>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0" memberValueDatatype="130" unbalanced="0"/>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hidden="1">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hidden="1">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681076389" backgroundQuery="1" createdVersion="8" refreshedVersion="8" minRefreshableVersion="3" recordCount="0" supportSubquery="1" supportAdvancedDrill="1" xr:uid="{7EBDD50D-02E4-44E9-8988-02FEF33BCC0C}">
  <cacheSource type="external" connectionId="1"/>
  <cacheFields count="3">
    <cacheField name="[Measures].[Sum of Adherence %]" caption="Sum of Adherence %" numFmtId="0" hierarchy="33" level="32767"/>
    <cacheField name="[tbl_EmpDatabase].[Employee Name].[Employee Name]" caption="Employee Name" numFmtId="0" hierarchy="1" level="1">
      <sharedItems count="96">
        <s v="Emplyee001"/>
        <s v="Emplyee002"/>
        <s v="Emplyee003"/>
        <s v="Emplyee004"/>
        <s v="Emplyee005"/>
        <s v="Emplyee006"/>
        <s v="Emplyee007"/>
        <s v="Emplyee008"/>
        <s v="Emplyee009"/>
        <s v="Emplyee010"/>
        <s v="Emplyee011"/>
        <s v="Emplyee012"/>
        <s v="Emplyee013"/>
        <s v="Emplyee014"/>
        <s v="Emplyee015"/>
        <s v="Emplyee016"/>
        <s v="Emplyee017"/>
        <s v="Emplyee018"/>
        <s v="Emplyee019"/>
        <s v="Emplyee020"/>
        <s v="Emplyee021"/>
        <s v="Emplyee022"/>
        <s v="Emplyee023"/>
        <s v="Emplyee024"/>
        <s v="Emplyee025"/>
        <s v="Emplyee026"/>
        <s v="Emplyee027"/>
        <s v="Emplyee028"/>
        <s v="Emplyee029"/>
        <s v="Emplyee030"/>
        <s v="Emplyee031"/>
        <s v="Emplyee032"/>
        <s v="Emplyee033"/>
        <s v="Emplyee034"/>
        <s v="Emplyee035"/>
        <s v="Emplyee036"/>
        <s v="Emplyee037"/>
        <s v="Emplyee038"/>
        <s v="Emplyee039"/>
        <s v="Emplyee040"/>
        <s v="Emplyee041"/>
        <s v="Emplyee042"/>
        <s v="Emplyee043"/>
        <s v="Emplyee044"/>
        <s v="Emplyee045"/>
        <s v="Emplyee046"/>
        <s v="Emplyee047"/>
        <s v="Emplyee048"/>
        <s v="Emplyee049"/>
        <s v="Emplyee050"/>
        <s v="Emplyee051"/>
        <s v="Emplyee052"/>
        <s v="Emplyee053"/>
        <s v="Emplyee054"/>
        <s v="Emplyee055"/>
        <s v="Emplyee056"/>
        <s v="Emplyee057"/>
        <s v="Emplyee058"/>
        <s v="Emplyee059"/>
        <s v="Emplyee060"/>
        <s v="Emplyee061"/>
        <s v="Emplyee062"/>
        <s v="Emplyee063"/>
        <s v="Emplyee064"/>
        <s v="Emplyee065"/>
        <s v="Emplyee066"/>
        <s v="Emplyee067"/>
        <s v="Emplyee068"/>
        <s v="Emplyee069"/>
        <s v="Emplyee070"/>
        <s v="Emplyee071"/>
        <s v="Emplyee072"/>
        <s v="Emplyee073"/>
        <s v="Emplyee074"/>
        <s v="Emplyee075"/>
        <s v="Emplyee076"/>
        <s v="Emplyee077"/>
        <s v="Emplyee078"/>
        <s v="Emplyee079"/>
        <s v="Emplyee080"/>
        <s v="Emplyee081"/>
        <s v="Emplyee082"/>
        <s v="Emplyee083"/>
        <s v="Emplyee084"/>
        <s v="Emplyee085"/>
        <s v="Emplyee086"/>
        <s v="Emplyee087"/>
        <s v="Emplyee088"/>
        <s v="Emplyee089"/>
        <s v="Emplyee090"/>
        <s v="Emplyee091"/>
        <s v="Emplyee092"/>
        <s v="Emplyee093"/>
        <s v="Emplyee094"/>
        <s v="Emplyee095"/>
        <s v="Emplyee096"/>
      </sharedItems>
    </cacheField>
    <cacheField name="[tbl_EmpDatabase].[Department].[Department]" caption="Department" numFmtId="0" hierarchy="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2" memberValueDatatype="130" unbalanced="0">
      <fieldsUsage count="2">
        <fieldUsage x="-1"/>
        <fieldUsage x="1"/>
      </fieldsUsage>
    </cacheHierarchy>
    <cacheHierarchy uniqueName="[tbl_EmpDatabase].[Department]" caption="Department" attribute="1" defaultMemberUniqueName="[tbl_EmpDatabase].[Department].[All]" allUniqueName="[tbl_EmpDatabase].[Department].[All]" dimensionUniqueName="[tbl_EmpDatabase]" displayFolder="" count="2" memberValueDatatype="130" unbalanced="0">
      <fieldsUsage count="2">
        <fieldUsage x="-1"/>
        <fieldUsage x="2"/>
      </fieldsUsage>
    </cacheHierarchy>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0" memberValueDatatype="130" unbalanced="0"/>
    <cacheHierarchy uniqueName="[tbl_TrainingRecords].[Trainer]" caption="Trainer" attribute="1" defaultMemberUniqueName="[tbl_TrainingRecords].[Trainer].[All]" allUniqueName="[tbl_TrainingRecords].[Trainer].[All]" dimensionUniqueName="[tbl_TrainingRecords]" displayFolder="" count="0" memberValueDatatype="130" unbalanced="0"/>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0" memberValueDatatype="130" unbalanced="0"/>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hidden="1">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hidden="1">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oneField="1" hidden="1">
      <fieldsUsage count="1">
        <fieldUsage x="0"/>
      </fieldsUsage>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7636342594" backgroundQuery="1" createdVersion="8" refreshedVersion="8" minRefreshableVersion="3" recordCount="0" supportSubquery="1" supportAdvancedDrill="1" xr:uid="{8D8C28F6-DC66-4B40-9FAD-42E3957FBDD2}">
  <cacheSource type="external" connectionId="1"/>
  <cacheFields count="3">
    <cacheField name="[Measures].[Sum of Training Hrs. 2]" caption="Sum of Training Hrs. 2" numFmtId="0" hierarchy="30" level="32767"/>
    <cacheField name="[tbl_TraineeRecords].[Department].[Department]" caption="Department" numFmtId="0" hierarchy="15" level="1">
      <sharedItems count="9">
        <s v="Design Engineering"/>
        <s v="Finance"/>
        <s v="HR"/>
        <s v="IT"/>
        <s v="Production"/>
        <s v="Production Planning"/>
        <s v="Quality"/>
        <s v="Sales &amp; Marketing"/>
        <s v="SCM"/>
      </sharedItems>
    </cacheField>
    <cacheField name="[tbl_TrainingRecords].[Date (Month)].[Date (Month)]" caption="Date (Month)" numFmtId="0" hierarchy="2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2" memberValueDatatype="130" unbalanced="0"/>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2" memberValueDatatype="130" unbalanced="0">
      <fieldsUsage count="2">
        <fieldUsage x="-1"/>
        <fieldUsage x="1"/>
      </fieldsUsage>
    </cacheHierarchy>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2" memberValueDatatype="130" unbalanced="0"/>
    <cacheHierarchy uniqueName="[tbl_TrainingRecords].[Trainer]" caption="Trainer" attribute="1" defaultMemberUniqueName="[tbl_TrainingRecords].[Trainer].[All]" allUniqueName="[tbl_TrainingRecords].[Trainer].[All]" dimensionUniqueName="[tbl_TrainingRecords]" displayFolder="" count="2" memberValueDatatype="130" unbalanced="0"/>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fieldsUsage count="2">
        <fieldUsage x="-1"/>
        <fieldUsage x="2"/>
      </fieldsUsage>
    </cacheHierarchy>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hidden="1">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7636574071" backgroundQuery="1" createdVersion="8" refreshedVersion="8" minRefreshableVersion="3" recordCount="0" supportSubquery="1" supportAdvancedDrill="1" xr:uid="{B7EC9BA8-8D2B-472D-B653-AAA99ADEB2AA}">
  <cacheSource type="external" connectionId="1"/>
  <cacheFields count="3">
    <cacheField name="[Measures].[Sum of Training Hrs. 2]" caption="Sum of Training Hrs. 2" numFmtId="0" hierarchy="30" level="32767"/>
    <cacheField name="[tbl_TraineeRecords].[Date (Month)].[Date (Month)]" caption="Date (Month)" numFmtId="0" hierarchy="16" level="1">
      <sharedItems count="12">
        <s v="Jan"/>
        <s v="Feb"/>
        <s v="Mar"/>
        <s v="Apr"/>
        <s v="May"/>
        <s v="Jun"/>
        <s v="Jul"/>
        <s v="Aug"/>
        <s v="Sep"/>
        <s v="Oct"/>
        <s v="Nov"/>
        <s v="Dec"/>
      </sharedItems>
    </cacheField>
    <cacheField name="[tbl_TrainingRecords].[Date (Month)].[Date (Month)]" caption="Date (Month)" numFmtId="0" hierarchy="2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2" memberValueDatatype="130" unbalanced="0"/>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2" memberValueDatatype="130" unbalanced="0">
      <fieldsUsage count="2">
        <fieldUsage x="-1"/>
        <fieldUsage x="1"/>
      </fieldsUsage>
    </cacheHierarchy>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2" memberValueDatatype="130" unbalanced="0"/>
    <cacheHierarchy uniqueName="[tbl_TrainingRecords].[Trainer]" caption="Trainer" attribute="1" defaultMemberUniqueName="[tbl_TrainingRecords].[Trainer].[All]" allUniqueName="[tbl_TrainingRecords].[Trainer].[All]" dimensionUniqueName="[tbl_TrainingRecords]" displayFolder="" count="2" memberValueDatatype="130" unbalanced="0"/>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fieldsUsage count="2">
        <fieldUsage x="-1"/>
        <fieldUsage x="2"/>
      </fieldsUsage>
    </cacheHierarchy>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hidden="1">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7636805556" backgroundQuery="1" createdVersion="8" refreshedVersion="8" minRefreshableVersion="3" recordCount="0" supportSubquery="1" supportAdvancedDrill="1" xr:uid="{17BD0872-27A5-4290-B1BD-086632AAC1E3}">
  <cacheSource type="external" connectionId="1"/>
  <cacheFields count="4">
    <cacheField name="[Measures].[Sum of Training Hrs.]" caption="Sum of Training Hrs." numFmtId="0" hierarchy="29" level="32767"/>
    <cacheField name="[tbl_TrainingRecords].[Trainer].[Trainer]" caption="Trainer" numFmtId="0" hierarchy="20" level="1">
      <sharedItems count="1">
        <s v="Trainer 04"/>
      </sharedItems>
    </cacheField>
    <cacheField name="[tbl_TrainingRecords].[Training Topic].[Training Topic]" caption="Training Topic" numFmtId="0" hierarchy="19" level="1">
      <sharedItems count="1">
        <s v="Six Sigma"/>
      </sharedItems>
    </cacheField>
    <cacheField name="[tbl_TrainingRecords].[Date (Month)].[Date (Month)]" caption="Date (Month)" numFmtId="0" hierarchy="2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0" memberValueDatatype="130" unbalanced="0"/>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2" memberValueDatatype="130" unbalanced="0">
      <fieldsUsage count="2">
        <fieldUsage x="-1"/>
        <fieldUsage x="2"/>
      </fieldsUsage>
    </cacheHierarchy>
    <cacheHierarchy uniqueName="[tbl_TrainingRecords].[Trainer]" caption="Trainer" attribute="1" defaultMemberUniqueName="[tbl_TrainingRecords].[Trainer].[All]" allUniqueName="[tbl_TrainingRecords].[Trainer].[All]" dimensionUniqueName="[tbl_TrainingRecords]" displayFolder="" count="2" memberValueDatatype="130" unbalanced="0">
      <fieldsUsage count="2">
        <fieldUsage x="-1"/>
        <fieldUsage x="1"/>
      </fieldsUsage>
    </cacheHierarchy>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fieldsUsage count="2">
        <fieldUsage x="-1"/>
        <fieldUsage x="3"/>
      </fieldsUsage>
    </cacheHierarchy>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hidden="1">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763703704" backgroundQuery="1" createdVersion="8" refreshedVersion="8" minRefreshableVersion="3" recordCount="0" supportSubquery="1" supportAdvancedDrill="1" xr:uid="{1235306F-DD09-40B1-B945-7B94890D0498}">
  <cacheSource type="external" connectionId="1"/>
  <cacheFields count="5">
    <cacheField name="[tbl_TrainingRecords].[Trainer].[Trainer]" caption="Trainer" numFmtId="0" hierarchy="20" level="1">
      <sharedItems count="1">
        <s v="Trainer 04"/>
      </sharedItems>
    </cacheField>
    <cacheField name="[tbl_TrainingRecords].[Training Topic].[Training Topic]" caption="Training Topic" numFmtId="0" hierarchy="19" level="1">
      <sharedItems count="1">
        <s v="Six Sigma"/>
      </sharedItems>
    </cacheField>
    <cacheField name="[tbl_TraineeRecords].[Employee Name].[Employee Name]" caption="Employee Name" numFmtId="0" hierarchy="14" level="1">
      <sharedItems count="1">
        <s v="Emplyee081"/>
      </sharedItems>
    </cacheField>
    <cacheField name="[Measures].[Sum of Training Hrs. 2]" caption="Sum of Training Hrs. 2" numFmtId="0" hierarchy="30" level="32767"/>
    <cacheField name="[tbl_TrainingRecords].[Date (Month)].[Date (Month)]" caption="Date (Month)" numFmtId="0" hierarchy="2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0" memberValueDatatype="130" unbalanced="0"/>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2" memberValueDatatype="130" unbalanced="0">
      <fieldsUsage count="2">
        <fieldUsage x="-1"/>
        <fieldUsage x="2"/>
      </fieldsUsage>
    </cacheHierarchy>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2" memberValueDatatype="130" unbalanced="0">
      <fieldsUsage count="2">
        <fieldUsage x="-1"/>
        <fieldUsage x="1"/>
      </fieldsUsage>
    </cacheHierarchy>
    <cacheHierarchy uniqueName="[tbl_TrainingRecords].[Trainer]" caption="Trainer" attribute="1" defaultMemberUniqueName="[tbl_TrainingRecords].[Trainer].[All]" allUniqueName="[tbl_TrainingRecords].[Trainer].[All]" dimensionUniqueName="[tbl_TrainingRecords]" displayFolder="" count="2" memberValueDatatype="130" unbalanced="0">
      <fieldsUsage count="2">
        <fieldUsage x="-1"/>
        <fieldUsage x="0"/>
      </fieldsUsage>
    </cacheHierarchy>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fieldsUsage count="2">
        <fieldUsage x="-1"/>
        <fieldUsage x="4"/>
      </fieldsUsage>
    </cacheHierarchy>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hidden="1">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oneField="1" hidden="1">
      <fieldsUsage count="1">
        <fieldUsage x="3"/>
      </fieldsUsage>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7637384256" backgroundQuery="1" createdVersion="8" refreshedVersion="8" minRefreshableVersion="3" recordCount="0" supportSubquery="1" supportAdvancedDrill="1" xr:uid="{371425E7-46E6-49EE-A753-5EBD75E36C3A}">
  <cacheSource type="external" connectionId="1"/>
  <cacheFields count="3">
    <cacheField name="[Measures].[Sum of Training Hrs.]" caption="Sum of Training Hrs." numFmtId="0" hierarchy="29" level="32767"/>
    <cacheField name="[tbl_TrainingRecords].[Trainer].[Trainer]" caption="Trainer" numFmtId="0" hierarchy="20" level="1">
      <sharedItems count="1">
        <s v="Trainer 04"/>
      </sharedItems>
    </cacheField>
    <cacheField name="[tbl_TrainingRecords].[Date (Month)].[Date (Month)]" caption="Date (Month)" numFmtId="0" hierarchy="2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0" memberValueDatatype="130" unbalanced="0"/>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0" memberValueDatatype="130" unbalanced="0"/>
    <cacheHierarchy uniqueName="[tbl_TrainingRecords].[Trainer]" caption="Trainer" attribute="1" defaultMemberUniqueName="[tbl_TrainingRecords].[Trainer].[All]" allUniqueName="[tbl_TrainingRecords].[Trainer].[All]" dimensionUniqueName="[tbl_TrainingRecords]" displayFolder="" count="2" memberValueDatatype="130" unbalanced="0">
      <fieldsUsage count="2">
        <fieldUsage x="-1"/>
        <fieldUsage x="1"/>
      </fieldsUsage>
    </cacheHierarchy>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fieldsUsage count="2">
        <fieldUsage x="-1"/>
        <fieldUsage x="2"/>
      </fieldsUsage>
    </cacheHierarchy>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hidden="1">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7637615741" backgroundQuery="1" createdVersion="8" refreshedVersion="8" minRefreshableVersion="3" recordCount="0" supportSubquery="1" supportAdvancedDrill="1" xr:uid="{0C4B8040-AD8A-4086-B64B-4A00DB5B1DD8}">
  <cacheSource type="external" connectionId="1"/>
  <cacheFields count="4">
    <cacheField name="[Measures].[Sum of Training Hrs.]" caption="Sum of Training Hrs." numFmtId="0" hierarchy="29" level="32767"/>
    <cacheField name="[Measures].[Count of Employee ID]" caption="Count of Employee ID" numFmtId="0" hierarchy="31" level="32767"/>
    <cacheField name="[tbl_TrainingRecords].[Training Topic].[Training Topic]" caption="Training Topic" numFmtId="0" hierarchy="19" level="1">
      <sharedItems count="10">
        <s v="Design Thinking"/>
        <s v="Excel Techniques"/>
        <s v="Leadership"/>
        <s v="Lean Manufacturing"/>
        <s v="Project Management"/>
        <s v="Quality Management"/>
        <s v="Sales Strategies"/>
        <s v="SCM Principles"/>
        <s v="Six Sigma"/>
        <s v="Team Building"/>
      </sharedItems>
    </cacheField>
    <cacheField name="[tbl_TrainingRecords].[Date (Month)].[Date (Month)]" caption="Date (Month)" numFmtId="0" hierarchy="2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0" memberValueDatatype="130" unbalanced="0"/>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2" memberValueDatatype="130" unbalanced="0">
      <fieldsUsage count="2">
        <fieldUsage x="-1"/>
        <fieldUsage x="2"/>
      </fieldsUsage>
    </cacheHierarchy>
    <cacheHierarchy uniqueName="[tbl_TrainingRecords].[Trainer]" caption="Trainer" attribute="1" defaultMemberUniqueName="[tbl_TrainingRecords].[Trainer].[All]" allUniqueName="[tbl_TrainingRecords].[Trainer].[All]" dimensionUniqueName="[tbl_TrainingRecords]" displayFolder="" count="2" memberValueDatatype="130" unbalanced="0"/>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fieldsUsage count="2">
        <fieldUsage x="-1"/>
        <fieldUsage x="3"/>
      </fieldsUsage>
    </cacheHierarchy>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hidden="1">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21.737637847225" backgroundQuery="1" createdVersion="8" refreshedVersion="8" minRefreshableVersion="3" recordCount="0" supportSubquery="1" supportAdvancedDrill="1" xr:uid="{4F78C6BF-F71F-406B-A513-C41BC6D681E0}">
  <cacheSource type="external" connectionId="1"/>
  <cacheFields count="4">
    <cacheField name="[Measures].[Sum of Training Hrs.]" caption="Sum of Training Hrs." numFmtId="0" hierarchy="29" level="32767"/>
    <cacheField name="[tbl_TrainingRecords].[Trainer].[Trainer]" caption="Trainer" numFmtId="0" hierarchy="20" level="1">
      <sharedItems count="8">
        <s v="Trainer 01"/>
        <s v="Trainer 02"/>
        <s v="Trainer 03"/>
        <s v="Trainer 04"/>
        <s v="Trainer 05"/>
        <s v="Trainer 06"/>
        <s v="Trainer 07"/>
        <s v="Trainer 08"/>
      </sharedItems>
    </cacheField>
    <cacheField name="[Measures].[Count of Employee ID]" caption="Count of Employee ID" numFmtId="0" hierarchy="31" level="32767"/>
    <cacheField name="[tbl_TrainingRecords].[Date (Month)].[Date (Month)]" caption="Date (Month)" numFmtId="0" hierarchy="22" level="1">
      <sharedItems containsSemiMixedTypes="0" containsNonDate="0" containsString="0"/>
    </cacheField>
  </cacheFields>
  <cacheHierarchies count="34">
    <cacheHierarchy uniqueName="[tbl_EmpDatabase].[Employee ID]" caption="Employee ID" attribute="1" defaultMemberUniqueName="[tbl_EmpDatabase].[Employee ID].[All]" allUniqueName="[tbl_EmpDatabase].[Employee ID].[All]" dimensionUniqueName="[tbl_EmpDatabase]" displayFolder="" count="0" memberValueDatatype="130" unbalanced="0"/>
    <cacheHierarchy uniqueName="[tbl_EmpDatabase].[Employee Name]" caption="Employee Name" attribute="1" defaultMemberUniqueName="[tbl_EmpDatabase].[Employee Name].[All]" allUniqueName="[tbl_EmpDatabase].[Employee Name].[All]" dimensionUniqueName="[tbl_EmpDatabase]" displayFolder="" count="0" memberValueDatatype="130" unbalanced="0"/>
    <cacheHierarchy uniqueName="[tbl_EmpDatabase].[Department]" caption="Department" attribute="1" defaultMemberUniqueName="[tbl_EmpDatabase].[Department].[All]" allUniqueName="[tbl_EmpDatabase].[Department].[All]" dimensionUniqueName="[tbl_EmpDatabase]" displayFolder="" count="0" memberValueDatatype="130" unbalanced="0"/>
    <cacheHierarchy uniqueName="[tbl_EmpDatabase].[Target Hrs.]" caption="Target Hrs." attribute="1" defaultMemberUniqueName="[tbl_EmpDatabase].[Target Hrs.].[All]" allUniqueName="[tbl_EmpDatabase].[Target Hrs.].[All]" dimensionUniqueName="[tbl_EmpDatabase]" displayFolder="" count="0" memberValueDatatype="20" unbalanced="0"/>
    <cacheHierarchy uniqueName="[tbl_EmpDatabase].[Actual Hrs.]" caption="Actual Hrs." attribute="1" defaultMemberUniqueName="[tbl_EmpDatabase].[Actual Hrs.].[All]" allUniqueName="[tbl_EmpDatabase].[Actual Hrs.].[All]" dimensionUniqueName="[tbl_EmpDatabase]" displayFolder="" count="0" memberValueDatatype="20" unbalanced="0"/>
    <cacheHierarchy uniqueName="[tbl_EmpDatabase].[Adherence %]" caption="Adherence %" attribute="1" defaultMemberUniqueName="[tbl_EmpDatabase].[Adherence %].[All]" allUniqueName="[tbl_EmpDatabase].[Adherence %].[All]" dimensionUniqueName="[tbl_EmpDatabase]" displayFolder="" count="0" memberValueDatatype="5" unbalanced="0"/>
    <cacheHierarchy uniqueName="[tbl_EmpDatabase].[Status]" caption="Status" attribute="1" defaultMemberUniqueName="[tbl_EmpDatabase].[Status].[All]" allUniqueName="[tbl_EmpDatabase].[Status].[All]" dimensionUniqueName="[tbl_EmpDatabase]" displayFolder="" count="0" memberValueDatatype="130" unbalanced="0"/>
    <cacheHierarchy uniqueName="[tbl_TraineeRecords].[#]" caption="#" attribute="1" defaultMemberUniqueName="[tbl_TraineeRecords].[#].[All]" allUniqueName="[tbl_TraineeRecords].[#].[All]" dimensionUniqueName="[tbl_TraineeRecords]" displayFolder="" count="0" memberValueDatatype="20" unbalanced="0"/>
    <cacheHierarchy uniqueName="[tbl_TraineeRecords].[# Trainer]" caption="# Trainer" attribute="1" defaultMemberUniqueName="[tbl_TraineeRecords].[# Trainer].[All]" allUniqueName="[tbl_TraineeRecords].[# Trainer].[All]" dimensionUniqueName="[tbl_TraineeRecords]" displayFolder="" count="0" memberValueDatatype="20" unbalanced="0"/>
    <cacheHierarchy uniqueName="[tbl_TraineeRecords].[Date]" caption="Date" attribute="1" time="1" defaultMemberUniqueName="[tbl_TraineeRecords].[Date].[All]" allUniqueName="[tbl_TraineeRecords].[Date].[All]" dimensionUniqueName="[tbl_TraineeRecords]" displayFolder="" count="0"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0" memberValueDatatype="130" unbalanced="0"/>
    <cacheHierarchy uniqueName="[tbl_TraineeRecords].[Trainer]" caption="Trainer" attribute="1" defaultMemberUniqueName="[tbl_TraineeRecords].[Trainer].[All]" allUniqueName="[tbl_TraineeRecords].[Trainer].[All]" dimensionUniqueName="[tbl_TraineeRecords]" displayFolder="" count="0"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0" memberValueDatatype="20" unbalanced="0"/>
    <cacheHierarchy uniqueName="[tbl_TraineeRecords].[Employee ID]" caption="Employee ID" attribute="1" defaultMemberUniqueName="[tbl_TraineeRecords].[Employee ID].[All]" allUniqueName="[tbl_TraineeRecords].[Employee ID].[All]" dimensionUniqueName="[tbl_TraineeRecords]" displayFolder="" count="0"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0" memberValueDatatype="130" unbalanced="0"/>
    <cacheHierarchy uniqueName="[tbl_TraineeRecords].[Department]" caption="Department" attribute="1" defaultMemberUniqueName="[tbl_TraineeRecords].[Department].[All]" allUniqueName="[tbl_TraineeRecords].[Department].[All]" dimensionUniqueName="[tbl_TraineeRecords]" displayFolder="" count="0" memberValueDatatype="130" unbalanced="0"/>
    <cacheHierarchy uniqueName="[tbl_TraineeRecords].[Date (Month)]" caption="Date (Month)" attribute="1" defaultMemberUniqueName="[tbl_TraineeRecords].[Date (Month)].[All]" allUniqueName="[tbl_TraineeRecords].[Date (Month)].[All]" dimensionUniqueName="[tbl_TraineeRecords]" displayFolder="" count="0" memberValueDatatype="130" unbalanced="0"/>
    <cacheHierarchy uniqueName="[tbl_TrainingRecords].[# Trainer]" caption="# Trainer" attribute="1" defaultMemberUniqueName="[tbl_TrainingRecords].[# Trainer].[All]" allUniqueName="[tbl_TrainingRecords].[# Trainer].[All]" dimensionUniqueName="[tbl_TrainingRecords]" displayFolder="" count="0" memberValueDatatype="20" unbalanced="0"/>
    <cacheHierarchy uniqueName="[tbl_TrainingRecords].[Date]" caption="Date" attribute="1" time="1" defaultMemberUniqueName="[tbl_TrainingRecords].[Date].[All]" allUniqueName="[tbl_TrainingRecords].[Date].[All]" dimensionUniqueName="[tbl_TrainingRecords]" displayFolder="" count="0"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2" memberValueDatatype="130" unbalanced="0"/>
    <cacheHierarchy uniqueName="[tbl_TrainingRecords].[Trainer]" caption="Trainer" attribute="1" defaultMemberUniqueName="[tbl_TrainingRecords].[Trainer].[All]" allUniqueName="[tbl_TrainingRecords].[Trainer].[All]" dimensionUniqueName="[tbl_TrainingRecords]" displayFolder="" count="2" memberValueDatatype="130" unbalanced="0">
      <fieldsUsage count="2">
        <fieldUsage x="-1"/>
        <fieldUsage x="1"/>
      </fieldsUsage>
    </cacheHierarchy>
    <cacheHierarchy uniqueName="[tbl_TrainingRecords].[Training Hrs.]" caption="Training Hrs." attribute="1" defaultMemberUniqueName="[tbl_TrainingRecords].[Training Hrs.].[All]" allUniqueName="[tbl_TrainingRecords].[Training Hrs.].[All]" dimensionUniqueName="[tbl_TrainingRecords]" displayFolder="" count="0"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fieldsUsage count="2">
        <fieldUsage x="-1"/>
        <fieldUsage x="3"/>
      </fieldsUsage>
    </cacheHierarchy>
    <cacheHierarchy uniqueName="[tbl_TraineeRecords].[Date (Month Index)]" caption="Date (Month Index)" attribute="1" defaultMemberUniqueName="[tbl_TraineeRecords].[Date (Month Index)].[All]" allUniqueName="[tbl_TraineeRecords].[Date (Month Index)].[All]" dimensionUniqueName="[tbl_TraineeRecords]" displayFolder="" count="0"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0"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Training Hrs. 2]" caption="Sum of Training Hrs. 2" measure="1" displayFolder="" measureGroup="tbl_TraineeRecords" count="0" hidden="1">
      <extLst>
        <ext xmlns:x15="http://schemas.microsoft.com/office/spreadsheetml/2010/11/main" uri="{B97F6D7D-B522-45F9-BDA1-12C45D357490}">
          <x15:cacheHierarchy aggregatedColumn="12"/>
        </ext>
      </extLst>
    </cacheHierarchy>
    <cacheHierarchy uniqueName="[Measures].[Count of Employee ID]" caption="Count of Employee ID" measure="1" displayFolder="" measureGroup="tbl_TraineeRecords"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0"/>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GYAN" refreshedDate="46219.897208796297" backgroundQuery="1" createdVersion="3" refreshedVersion="8" minRefreshableVersion="3" recordCount="0" supportSubquery="1" supportAdvancedDrill="1" xr:uid="{615D3C7E-94B9-482B-BEBD-D81056F05A52}">
  <cacheSource type="external" connectionId="1">
    <extLst>
      <ext xmlns:x14="http://schemas.microsoft.com/office/spreadsheetml/2009/9/main" uri="{F057638F-6D5F-4e77-A914-E7F072B9BCA8}">
        <x14:sourceConnection name="ThisWorkbookDataModel"/>
      </ext>
    </extLst>
  </cacheSource>
  <cacheFields count="0"/>
  <cacheHierarchies count="35">
    <cacheHierarchy uniqueName="[Measures]" caption="Measures" attribute="1" keyAttribute="1" defaultMemberUniqueName="[Measures].[__No measures defined]" dimensionUniqueName="[Measures]" displayFolder="" measures="1" count="1" memberValueDatatype="130" unbalanced="0"/>
    <cacheHierarchy uniqueName="[tbl_EmpDatabase].[Employee ID]" caption="Employee ID" attribute="1" defaultMemberUniqueName="[tbl_EmpDatabase].[Employee ID].[All]" allUniqueName="[tbl_EmpDatabase].[Employee ID].[All]" dimensionUniqueName="[tbl_EmpDatabase]" displayFolder="" count="2" memberValueDatatype="130" unbalanced="0"/>
    <cacheHierarchy uniqueName="[tbl_EmpDatabase].[Employee Name]" caption="Employee Name" attribute="1" defaultMemberUniqueName="[tbl_EmpDatabase].[Employee Name].[All]" allUniqueName="[tbl_EmpDatabase].[Employee Name].[All]" dimensionUniqueName="[tbl_EmpDatabase]" displayFolder="" count="2" memberValueDatatype="130" unbalanced="0"/>
    <cacheHierarchy uniqueName="[tbl_EmpDatabase].[Department]" caption="Department" attribute="1" defaultMemberUniqueName="[tbl_EmpDatabase].[Department].[All]" allUniqueName="[tbl_EmpDatabase].[Department].[All]" dimensionUniqueName="[tbl_EmpDatabase]" displayFolder="" count="2" memberValueDatatype="130" unbalanced="0"/>
    <cacheHierarchy uniqueName="[tbl_EmpDatabase].[Target Hrs.]" caption="Target Hrs." attribute="1" defaultMemberUniqueName="[tbl_EmpDatabase].[Target Hrs.].[All]" allUniqueName="[tbl_EmpDatabase].[Target Hrs.].[All]" dimensionUniqueName="[tbl_EmpDatabase]" displayFolder="" count="2" memberValueDatatype="20" unbalanced="0"/>
    <cacheHierarchy uniqueName="[tbl_EmpDatabase].[Actual Hrs.]" caption="Actual Hrs." attribute="1" defaultMemberUniqueName="[tbl_EmpDatabase].[Actual Hrs.].[All]" allUniqueName="[tbl_EmpDatabase].[Actual Hrs.].[All]" dimensionUniqueName="[tbl_EmpDatabase]" displayFolder="" count="2" memberValueDatatype="20" unbalanced="0"/>
    <cacheHierarchy uniqueName="[tbl_EmpDatabase].[Adherence %]" caption="Adherence %" attribute="1" defaultMemberUniqueName="[tbl_EmpDatabase].[Adherence %].[All]" allUniqueName="[tbl_EmpDatabase].[Adherence %].[All]" dimensionUniqueName="[tbl_EmpDatabase]" displayFolder="" count="2" memberValueDatatype="5" unbalanced="0"/>
    <cacheHierarchy uniqueName="[tbl_EmpDatabase].[Status]" caption="Status" attribute="1" defaultMemberUniqueName="[tbl_EmpDatabase].[Status].[All]" allUniqueName="[tbl_EmpDatabase].[Status].[All]" dimensionUniqueName="[tbl_EmpDatabase]" displayFolder="" count="2" memberValueDatatype="130" unbalanced="0"/>
    <cacheHierarchy uniqueName="[tbl_TraineeRecords].[#]" caption="#" attribute="1" defaultMemberUniqueName="[tbl_TraineeRecords].[#].[All]" allUniqueName="[tbl_TraineeRecords].[#].[All]" dimensionUniqueName="[tbl_TraineeRecords]" displayFolder="" count="2" memberValueDatatype="20" unbalanced="0"/>
    <cacheHierarchy uniqueName="[tbl_TraineeRecords].[# Trainer]" caption="# Trainer" attribute="1" defaultMemberUniqueName="[tbl_TraineeRecords].[# Trainer].[All]" allUniqueName="[tbl_TraineeRecords].[# Trainer].[All]" dimensionUniqueName="[tbl_TraineeRecords]" displayFolder="" count="2" memberValueDatatype="20" unbalanced="0"/>
    <cacheHierarchy uniqueName="[tbl_TraineeRecords].[Date]" caption="Date" attribute="1" time="1" defaultMemberUniqueName="[tbl_TraineeRecords].[Date].[All]" allUniqueName="[tbl_TraineeRecords].[Date].[All]" dimensionUniqueName="[tbl_TraineeRecords]" displayFolder="" count="2" memberValueDatatype="7" unbalanced="0"/>
    <cacheHierarchy uniqueName="[tbl_TraineeRecords].[Training Topic]" caption="Training Topic" attribute="1" defaultMemberUniqueName="[tbl_TraineeRecords].[Training Topic].[All]" allUniqueName="[tbl_TraineeRecords].[Training Topic].[All]" dimensionUniqueName="[tbl_TraineeRecords]" displayFolder="" count="2" memberValueDatatype="130" unbalanced="0"/>
    <cacheHierarchy uniqueName="[tbl_TraineeRecords].[Trainer]" caption="Trainer" attribute="1" defaultMemberUniqueName="[tbl_TraineeRecords].[Trainer].[All]" allUniqueName="[tbl_TraineeRecords].[Trainer].[All]" dimensionUniqueName="[tbl_TraineeRecords]" displayFolder="" count="2" memberValueDatatype="130" unbalanced="0"/>
    <cacheHierarchy uniqueName="[tbl_TraineeRecords].[Training Hrs.]" caption="Training Hrs." attribute="1" defaultMemberUniqueName="[tbl_TraineeRecords].[Training Hrs.].[All]" allUniqueName="[tbl_TraineeRecords].[Training Hrs.].[All]" dimensionUniqueName="[tbl_TraineeRecords]" displayFolder="" count="2" memberValueDatatype="20" unbalanced="0"/>
    <cacheHierarchy uniqueName="[tbl_TraineeRecords].[Employee ID]" caption="Employee ID" attribute="1" defaultMemberUniqueName="[tbl_TraineeRecords].[Employee ID].[All]" allUniqueName="[tbl_TraineeRecords].[Employee ID].[All]" dimensionUniqueName="[tbl_TraineeRecords]" displayFolder="" count="2" memberValueDatatype="130" unbalanced="0"/>
    <cacheHierarchy uniqueName="[tbl_TraineeRecords].[Employee Name]" caption="Employee Name" attribute="1" defaultMemberUniqueName="[tbl_TraineeRecords].[Employee Name].[All]" allUniqueName="[tbl_TraineeRecords].[Employee Name].[All]" dimensionUniqueName="[tbl_TraineeRecords]" displayFolder="" count="2" memberValueDatatype="130" unbalanced="0"/>
    <cacheHierarchy uniqueName="[tbl_TraineeRecords].[Department]" caption="Department" attribute="1" defaultMemberUniqueName="[tbl_TraineeRecords].[Department].[All]" allUniqueName="[tbl_TraineeRecords].[Department].[All]" dimensionUniqueName="[tbl_TraineeRecords]" displayFolder="" count="2" memberValueDatatype="130" unbalanced="0"/>
    <cacheHierarchy uniqueName="[tbl_TraineeRecords].[Date (Month)]" caption="Date (Month)" attribute="1" defaultMemberUniqueName="[tbl_TraineeRecords].[Date (Month)].[All]" allUniqueName="[tbl_TraineeRecords].[Date (Month)].[All]" dimensionUniqueName="[tbl_TraineeRecords]" displayFolder="" count="2" memberValueDatatype="130" unbalanced="0"/>
    <cacheHierarchy uniqueName="[tbl_TrainingRecords].[# Trainer]" caption="# Trainer" attribute="1" defaultMemberUniqueName="[tbl_TrainingRecords].[# Trainer].[All]" allUniqueName="[tbl_TrainingRecords].[# Trainer].[All]" dimensionUniqueName="[tbl_TrainingRecords]" displayFolder="" count="2" memberValueDatatype="20" unbalanced="0"/>
    <cacheHierarchy uniqueName="[tbl_TrainingRecords].[Date]" caption="Date" attribute="1" time="1" defaultMemberUniqueName="[tbl_TrainingRecords].[Date].[All]" allUniqueName="[tbl_TrainingRecords].[Date].[All]" dimensionUniqueName="[tbl_TrainingRecords]" displayFolder="" count="2" memberValueDatatype="7" unbalanced="0"/>
    <cacheHierarchy uniqueName="[tbl_TrainingRecords].[Training Topic]" caption="Training Topic" attribute="1" defaultMemberUniqueName="[tbl_TrainingRecords].[Training Topic].[All]" allUniqueName="[tbl_TrainingRecords].[Training Topic].[All]" dimensionUniqueName="[tbl_TrainingRecords]" displayFolder="" count="2" memberValueDatatype="130" unbalanced="0"/>
    <cacheHierarchy uniqueName="[tbl_TrainingRecords].[Trainer]" caption="Trainer" attribute="1" defaultMemberUniqueName="[tbl_TrainingRecords].[Trainer].[All]" allUniqueName="[tbl_TrainingRecords].[Trainer].[All]" dimensionUniqueName="[tbl_TrainingRecords]" displayFolder="" count="2" memberValueDatatype="130" unbalanced="0"/>
    <cacheHierarchy uniqueName="[tbl_TrainingRecords].[Training Hrs.]" caption="Training Hrs." attribute="1" defaultMemberUniqueName="[tbl_TrainingRecords].[Training Hrs.].[All]" allUniqueName="[tbl_TrainingRecords].[Training Hrs.].[All]" dimensionUniqueName="[tbl_TrainingRecords]" displayFolder="" count="2" memberValueDatatype="20" unbalanced="0"/>
    <cacheHierarchy uniqueName="[tbl_TrainingRecords].[Date (Month)]" caption="Date (Month)" attribute="1" defaultMemberUniqueName="[tbl_TrainingRecords].[Date (Month)].[All]" allUniqueName="[tbl_TrainingRecords].[Date (Month)].[All]" dimensionUniqueName="[tbl_TrainingRecords]" displayFolder="" count="2" memberValueDatatype="130" unbalanced="0"/>
    <cacheHierarchy uniqueName="[tbl_TraineeRecords].[Date (Month Index)]" caption="Date (Month Index)" attribute="1" defaultMemberUniqueName="[tbl_TraineeRecords].[Date (Month Index)].[All]" allUniqueName="[tbl_TraineeRecords].[Date (Month Index)].[All]" dimensionUniqueName="[tbl_TraineeRecords]" displayFolder="" count="2" memberValueDatatype="20" unbalanced="0" hidden="1"/>
    <cacheHierarchy uniqueName="[tbl_TrainingRecords].[Date (Month Index)]" caption="Date (Month Index)" attribute="1" defaultMemberUniqueName="[tbl_TrainingRecords].[Date (Month Index)].[All]" allUniqueName="[tbl_TrainingRecords].[Date (Month Index)].[All]" dimensionUniqueName="[tbl_TrainingRecords]" displayFolder="" count="2" memberValueDatatype="20" unbalanced="0" hidden="1"/>
    <cacheHierarchy uniqueName="[Measures].[__XL_Count tbl_EmpDatabase]" caption="__XL_Count tbl_EmpDatabase" measure="1" displayFolder="" measureGroup="tbl_EmpDatabase" count="0" hidden="1"/>
    <cacheHierarchy uniqueName="[Measures].[__XL_Count tbl_TrainingRecords]" caption="__XL_Count tbl_TrainingRecords" measure="1" displayFolder="" measureGroup="tbl_TrainingRecords" count="0" hidden="1"/>
    <cacheHierarchy uniqueName="[Measures].[__XL_Count tbl_TraineeRecords]" caption="__XL_Count tbl_TraineeRecords" measure="1" displayFolder="" measureGroup="tbl_TraineeRecords" count="0" hidden="1"/>
    <cacheHierarchy uniqueName="[Measures].[__No measures defined]" caption="__No measures defined" measure="1" displayFolder="" count="0" hidden="1"/>
    <cacheHierarchy uniqueName="[Measures].[Sum of Training Hrs.]" caption="Sum of Training Hrs." measure="1" displayFolder="" measureGroup="tbl_TrainingRecords" count="0" hidden="1">
      <extLst>
        <ext xmlns:x15="http://schemas.microsoft.com/office/spreadsheetml/2010/11/main" uri="{B97F6D7D-B522-45F9-BDA1-12C45D357490}">
          <x15:cacheHierarchy aggregatedColumn="22"/>
        </ext>
      </extLst>
    </cacheHierarchy>
    <cacheHierarchy uniqueName="[Measures].[Sum of Training Hrs. 2]" caption="Sum of Training Hrs. 2" measure="1" displayFolder="" measureGroup="tbl_TraineeRecords" count="0" hidden="1">
      <extLst>
        <ext xmlns:x15="http://schemas.microsoft.com/office/spreadsheetml/2010/11/main" uri="{B97F6D7D-B522-45F9-BDA1-12C45D357490}">
          <x15:cacheHierarchy aggregatedColumn="13"/>
        </ext>
      </extLst>
    </cacheHierarchy>
    <cacheHierarchy uniqueName="[Measures].[Count of Employee ID]" caption="Count of Employee ID" measure="1" displayFolder="" measureGroup="tbl_TraineeRecords" count="0" hidden="1">
      <extLst>
        <ext xmlns:x15="http://schemas.microsoft.com/office/spreadsheetml/2010/11/main" uri="{B97F6D7D-B522-45F9-BDA1-12C45D357490}">
          <x15:cacheHierarchy aggregatedColumn="14"/>
        </ext>
      </extLst>
    </cacheHierarchy>
    <cacheHierarchy uniqueName="[Measures].[Count of Employee ID 2]" caption="Count of Employee ID 2" measure="1" displayFolder="" measureGroup="tbl_EmpDatabase" count="0" hidden="1">
      <extLst>
        <ext xmlns:x15="http://schemas.microsoft.com/office/spreadsheetml/2010/11/main" uri="{B97F6D7D-B522-45F9-BDA1-12C45D357490}">
          <x15:cacheHierarchy aggregatedColumn="1"/>
        </ext>
      </extLst>
    </cacheHierarchy>
    <cacheHierarchy uniqueName="[Measures].[Sum of Adherence %]" caption="Sum of Adherence %" measure="1" displayFolder="" measureGroup="tbl_EmpDatabase" count="0" hidden="1">
      <extLst>
        <ext xmlns:x15="http://schemas.microsoft.com/office/spreadsheetml/2010/11/main" uri="{B97F6D7D-B522-45F9-BDA1-12C45D357490}">
          <x15:cacheHierarchy aggregatedColumn="6"/>
        </ext>
      </extLst>
    </cacheHierarchy>
  </cacheHierarchies>
  <kpis count="0"/>
  <dimensions count="4">
    <dimension measure="1" name="Measures" uniqueName="[Measures]" caption="Measures"/>
    <dimension name="tbl_EmpDatabase" uniqueName="[tbl_EmpDatabase]" caption="tbl_EmpDatabase"/>
    <dimension name="tbl_TraineeRecords" uniqueName="[tbl_TraineeRecords]" caption="tbl_TraineeRecords"/>
    <dimension name="tbl_TrainingRecords" uniqueName="[tbl_TrainingRecords]" caption="tbl_TrainingRecords"/>
  </dimensions>
  <measureGroups count="3">
    <measureGroup name="tbl_EmpDatabase" caption="tbl_EmpDatabase"/>
    <measureGroup name="tbl_TraineeRecords" caption="tbl_TraineeRecords"/>
    <measureGroup name="tbl_TrainingRecords" caption="tbl_TrainingRecord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licerData="1" pivotCacheId="195687545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8144215-1CC3-4C90-AF3F-43688B5C4D15}" name="Pvt_Top_Topic" cacheId="186" applyNumberFormats="0" applyBorderFormats="0" applyFontFormats="0" applyPatternFormats="0" applyAlignmentFormats="0" applyWidthHeightFormats="1" dataCaption="Values" tag="b9442a0d-d3ca-4e22-a0da-540f04cf42d2" updatedVersion="8" minRefreshableVersion="3" useAutoFormatting="1" itemPrintTitles="1" createdVersion="8" indent="0" compact="0" compactData="0" gridDropZones="1" multipleFieldFilters="0">
  <location ref="E1:F4" firstHeaderRow="2" firstDataRow="2" firstDataCol="1"/>
  <pivotFields count="4">
    <pivotField dataField="1" compact="0" outline="0" subtotalTop="0" showAll="0" defaultSubtotal="0"/>
    <pivotField compact="0" allDrilled="1" outline="0" subtotalTop="0" showAll="0" measureFilter="1" dataSourceSort="1" defaultSubtotal="0" defaultAttributeDrillState="1">
      <items count="1">
        <item x="0"/>
      </items>
    </pivotField>
    <pivotField axis="axisRow" compact="0" allDrilled="1" outline="0" subtotalTop="0" showAll="0" measureFilter="1" dataSourceSort="1" defaultSubtotal="0" defaultAttributeDrillState="1">
      <items count="1">
        <item x="0"/>
      </items>
    </pivotField>
    <pivotField compact="0" allDrilled="1" outline="0" subtotalTop="0" showAll="0" dataSourceSort="1" defaultSubtotal="0" defaultAttributeDrillState="1"/>
  </pivotFields>
  <rowFields count="1">
    <field x="2"/>
  </rowFields>
  <rowItems count="2">
    <i>
      <x/>
    </i>
    <i t="grand">
      <x/>
    </i>
  </rowItems>
  <colItems count="1">
    <i/>
  </colItems>
  <dataFields count="1">
    <dataField name="Sum of Training Hrs." fld="0"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29">
      <autoFilter ref="A1">
        <filterColumn colId="0">
          <top10 val="1" filterVal="1"/>
        </filterColumn>
      </autoFilter>
    </filter>
    <filter fld="2" type="count" id="2" iMeasureHier="29">
      <autoFilter ref="A1">
        <filterColumn colId="0">
          <top10 val="1" filterVal="1"/>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er]"/>
        <x15:activeTabTopLevelEntity name="[tbl_TraineeRecords]"/>
        <x15:activeTabTopLevelEntity name="[tbl_Training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F20580-E444-4AB1-9C49-9C083AAC98E3}" name="Pvt_Trainee" cacheId="156"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B1:AC99" firstHeaderRow="2" firstDataRow="2" firstDataCol="1"/>
  <pivotFields count="3">
    <pivotField dataField="1" compact="0" outline="0" subtotalTop="0" showAll="0" defaultSubtotal="0"/>
    <pivotField axis="axisRow" compact="0" allDrilled="1" outline="0" subtotalTop="0" showAll="0" dataSourceSort="1" defaultSubtotal="0" defaultAttributeDrillState="1">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s>
    </pivotField>
    <pivotField compact="0" allDrilled="1" outline="0" subtotalTop="0" showAll="0" dataSourceSort="1" defaultSubtotal="0" defaultAttributeDrillState="1"/>
  </pivotFields>
  <rowFields count="1">
    <field x="1"/>
  </rowFields>
  <rowItems count="9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t="grand">
      <x/>
    </i>
  </rowItems>
  <colItems count="1">
    <i/>
  </colItems>
  <dataFields count="1">
    <dataField name="Sum of Adherence %" fld="0" baseField="0" baseItem="0"/>
  </dataFields>
  <pivotHierarchies count="34">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eeRecords]"/>
        <x15:activeTabTopLevelEntity name="[tbl_EmpData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C44DDE-901C-49A2-85B8-AC5C902FEBC8}" name="Pvt_Top_Trainee" cacheId="189" applyNumberFormats="0" applyBorderFormats="0" applyFontFormats="0" applyPatternFormats="0" applyAlignmentFormats="0" applyWidthHeightFormats="1" dataCaption="Values" tag="b9442a0d-d3ca-4e22-a0da-540f04cf42d2" updatedVersion="8" minRefreshableVersion="3" useAutoFormatting="1" subtotalHiddenItems="1" itemPrintTitles="1" createdVersion="8" indent="0" compact="0" compactData="0" gridDropZones="1" multipleFieldFilters="0">
  <location ref="H1:I4" firstHeaderRow="2" firstDataRow="2" firstDataCol="1"/>
  <pivotFields count="5">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axis="axisRow"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2">
    <i>
      <x/>
    </i>
    <i t="grand">
      <x/>
    </i>
  </rowItems>
  <colItems count="1">
    <i/>
  </colItems>
  <dataFields count="1">
    <dataField name="Sum of Training Hrs." fld="3"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0" type="count" id="1" iMeasureHier="29">
      <autoFilter ref="A1">
        <filterColumn colId="0">
          <top10 val="1" filterVal="1"/>
        </filterColumn>
      </autoFilter>
    </filter>
    <filter fld="1" type="count" id="2" iMeasureHier="29">
      <autoFilter ref="A1">
        <filterColumn colId="0">
          <top10 val="1" filterVal="1"/>
        </filterColumn>
      </autoFilter>
    </filter>
    <filter fld="2" type="count" id="3" iMeasureHier="30">
      <autoFilter ref="A1">
        <filterColumn colId="0">
          <top10 val="1" filterVal="1"/>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er]"/>
        <x15:activeTabTopLevelEntity name="[tbl_TraineeRecords]"/>
        <x15:activeTabTopLevelEntity name="[tbl_Training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CDC2E7-8D3E-4800-913D-88462EFBB5CF}" name="Pvt_Month" cacheId="18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S1:T15" firstHeaderRow="2" firstDataRow="2"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Training Hrs." fld="0" baseField="0" baseItem="0"/>
  </dataFields>
  <pivotHierarchies count="34">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ee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89DB2B-A438-4CC0-A9FB-48B42EA99751}" name="Pvt_Status" cacheId="15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5">
  <location ref="Y1:Z6" firstHeaderRow="2" firstDataRow="2" firstDataCol="1"/>
  <pivotFields count="3">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t="grand">
      <x/>
    </i>
  </rowItems>
  <colItems count="1">
    <i/>
  </colItems>
  <dataFields count="1">
    <dataField name="Count of Employee ID" fld="1" subtotal="count" baseField="0" baseItem="0"/>
  </dataFields>
  <chartFormats count="4">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0"/>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 chart="4" format="8">
      <pivotArea type="data" outline="0" fieldPosition="0">
        <references count="2">
          <reference field="4294967294" count="1" selected="0">
            <x v="0"/>
          </reference>
          <reference field="0" count="1" selected="0">
            <x v="2"/>
          </reference>
        </references>
      </pivotArea>
    </chartFormat>
  </chartFormats>
  <pivotHierarchies count="34">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EmpData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962AB8-0576-4CCD-857A-05E60FC62192}" name="Pvt_Dept" cacheId="18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V1:W12" firstHeaderRow="2" firstDataRow="2" firstDataCol="1"/>
  <pivotFields count="3">
    <pivotField dataField="1" compact="0" outline="0" subtotalTop="0" showAll="0" defaultSubtotal="0"/>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s>
  <rowFields count="1">
    <field x="1"/>
  </rowFields>
  <rowItems count="10">
    <i>
      <x/>
    </i>
    <i>
      <x v="1"/>
    </i>
    <i>
      <x v="2"/>
    </i>
    <i>
      <x v="3"/>
    </i>
    <i>
      <x v="4"/>
    </i>
    <i>
      <x v="5"/>
    </i>
    <i>
      <x v="6"/>
    </i>
    <i>
      <x v="7"/>
    </i>
    <i>
      <x v="8"/>
    </i>
    <i t="grand">
      <x/>
    </i>
  </rowItems>
  <colItems count="1">
    <i/>
  </colItems>
  <dataFields count="1">
    <dataField name="Sum of Training Hrs." fld="0" baseField="0" baseItem="0"/>
  </dataFields>
  <pivotHierarchies count="34">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ee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C7BD92-9F2C-47BA-A6BF-AF52F770D998}" name="Pvt_Trainer" cacheId="198"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K1:M11" firstHeaderRow="1" firstDataRow="2" firstDataCol="1"/>
  <pivotFields count="4">
    <pivotField dataField="1" compact="0" outline="0" subtotalTop="0" showAll="0" defaultSubtotal="0"/>
    <pivotField axis="axisRow" compact="0" allDrilled="1" outline="0" subtotalTop="0" showAll="0" dataSourceSort="1" defaultSubtotal="0" defaultAttributeDrillState="1">
      <items count="8">
        <item x="0"/>
        <item x="1"/>
        <item x="2"/>
        <item x="3"/>
        <item x="4"/>
        <item x="5"/>
        <item x="6"/>
        <item x="7"/>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9">
    <i>
      <x/>
    </i>
    <i>
      <x v="1"/>
    </i>
    <i>
      <x v="2"/>
    </i>
    <i>
      <x v="3"/>
    </i>
    <i>
      <x v="4"/>
    </i>
    <i>
      <x v="5"/>
    </i>
    <i>
      <x v="6"/>
    </i>
    <i>
      <x v="7"/>
    </i>
    <i t="grand">
      <x/>
    </i>
  </rowItems>
  <colFields count="1">
    <field x="-2"/>
  </colFields>
  <colItems count="2">
    <i>
      <x/>
    </i>
    <i i="1">
      <x v="1"/>
    </i>
  </colItems>
  <dataFields count="2">
    <dataField name="Sum of Training Hrs." fld="0" baseField="0" baseItem="0"/>
    <dataField name="Count of Employee ID" fld="2" subtotal="count"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ingRecords]"/>
        <x15:activeTabTopLevelEntity name="[tbl_Trainee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F1C47C-4EFD-47FD-9991-A30491CC0E60}" name="Pvt_Top_Trainer" cacheId="192" applyNumberFormats="0" applyBorderFormats="0" applyFontFormats="0" applyPatternFormats="0" applyAlignmentFormats="0" applyWidthHeightFormats="1" dataCaption="Values" tag="b9442a0d-d3ca-4e22-a0da-540f04cf42d2" updatedVersion="8" minRefreshableVersion="3" useAutoFormatting="1" itemPrintTitles="1" createdVersion="8" indent="0" compact="0" compactData="0" gridDropZones="1" multipleFieldFilters="0">
  <location ref="B1:C4" firstHeaderRow="2" firstDataRow="2" firstDataCol="1"/>
  <pivotFields count="3">
    <pivotField dataField="1" compact="0" outline="0" subtotalTop="0" showAll="0" defaultSubtotal="0"/>
    <pivotField axis="axisRow" compact="0" allDrilled="1" outline="0" subtotalTop="0" showAll="0" measureFilter="1" dataSourceSort="1" defaultSubtotal="0" defaultAttributeDrillState="1">
      <items count="1">
        <item x="0"/>
      </items>
    </pivotField>
    <pivotField compact="0" allDrilled="1" outline="0" subtotalTop="0" showAll="0" dataSourceSort="1" defaultSubtotal="0" defaultAttributeDrillState="1"/>
  </pivotFields>
  <rowFields count="1">
    <field x="1"/>
  </rowFields>
  <rowItems count="2">
    <i>
      <x/>
    </i>
    <i t="grand">
      <x/>
    </i>
  </rowItems>
  <colItems count="1">
    <i/>
  </colItems>
  <dataFields count="1">
    <dataField name="Sum of Training Hrs." fld="0"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 filterVal="1"/>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er]"/>
        <x15:activeTabTopLevelEntity name="[tbl_TraineeRecords]"/>
        <x15:activeTabTopLevelEntity name="[tbl_Training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CFB628A-0D30-4C48-AB81-FB6C2C045E12}" name="Pvt_Topic" cacheId="19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O1:Q13" firstHeaderRow="1" firstDataRow="2"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name="Sum of Training Hrs." fld="0" baseField="0" baseItem="0"/>
    <dataField name="Count of Employee ID" fld="1" subtotal="count"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TrainingRecords]"/>
        <x15:activeTabTopLevelEntity name="[tbl_TraineeRecord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EAC739B-09FC-4CC2-913B-E48D5AB9E2A7}" sourceName="[tbl_EmpDatabase].[Department]">
  <pivotTables>
    <pivotTable tabId="7" name="Pvt_Dept"/>
    <pivotTable tabId="7" name="Pvt_Month"/>
    <pivotTable tabId="7" name="Pvt_Status"/>
    <pivotTable tabId="7" name="Pvt_Trainee"/>
  </pivotTables>
  <data>
    <olap pivotCacheId="1956875456">
      <levels count="2">
        <level uniqueName="[tbl_EmpDatabase].[Department].[(All)]" sourceCaption="(All)" count="0"/>
        <level uniqueName="[tbl_EmpDatabase].[Department].[Department]" sourceCaption="Department" count="9">
          <ranges>
            <range startItem="0">
              <i n="[tbl_EmpDatabase].[Department].&amp;[Design Engineering]" c="Design Engineering"/>
              <i n="[tbl_EmpDatabase].[Department].&amp;[Finance]" c="Finance"/>
              <i n="[tbl_EmpDatabase].[Department].&amp;[HR]" c="HR"/>
              <i n="[tbl_EmpDatabase].[Department].&amp;[IT]" c="IT"/>
              <i n="[tbl_EmpDatabase].[Department].&amp;[Production]" c="Production"/>
              <i n="[tbl_EmpDatabase].[Department].&amp;[Production Planning]" c="Production Planning"/>
              <i n="[tbl_EmpDatabase].[Department].&amp;[Quality]" c="Quality"/>
              <i n="[tbl_EmpDatabase].[Department].&amp;[Sales &amp; Marketing]" c="Sales &amp; Marketing"/>
              <i n="[tbl_EmpDatabase].[Department].&amp;[SCM]" c="SCM"/>
            </range>
          </ranges>
        </level>
      </levels>
      <selections count="1">
        <selection n="[tbl_EmpDatabase].[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BED5F02A-FFE3-4CD7-8599-EC5904DF93E4}" sourceName="[tbl_TrainingRecords].[Date (Month)]">
  <pivotTables>
    <pivotTable tabId="7" name="Pvt_Dept"/>
    <pivotTable tabId="7" name="Pvt_Month"/>
    <pivotTable tabId="7" name="Pvt_Top_Topic"/>
    <pivotTable tabId="7" name="Pvt_Top_Trainee"/>
    <pivotTable tabId="7" name="Pvt_Top_Trainer"/>
    <pivotTable tabId="7" name="Pvt_Topic"/>
    <pivotTable tabId="7" name="Pvt_Trainer"/>
  </pivotTables>
  <data>
    <olap pivotCacheId="1956875456">
      <levels count="2">
        <level uniqueName="[tbl_TrainingRecords].[Date (Month)].[(All)]" sourceCaption="(All)" count="0"/>
        <level uniqueName="[tbl_TrainingRecords].[Date (Month)].[Date (Month)]" sourceCaption="Date (Month)" count="12">
          <ranges>
            <range startItem="0">
              <i n="[tbl_TrainingRecords].[Date (Month)].&amp;[Jan]" c="Jan"/>
              <i n="[tbl_TrainingRecords].[Date (Month)].&amp;[Feb]" c="Feb"/>
              <i n="[tbl_TrainingRecords].[Date (Month)].&amp;[Mar]" c="Mar"/>
              <i n="[tbl_TrainingRecords].[Date (Month)].&amp;[Apr]" c="Apr"/>
              <i n="[tbl_TrainingRecords].[Date (Month)].&amp;[May]" c="May"/>
              <i n="[tbl_TrainingRecords].[Date (Month)].&amp;[Jun]" c="Jun"/>
              <i n="[tbl_TrainingRecords].[Date (Month)].&amp;[Jul]" c="Jul"/>
              <i n="[tbl_TrainingRecords].[Date (Month)].&amp;[Aug]" c="Aug"/>
              <i n="[tbl_TrainingRecords].[Date (Month)].&amp;[Sep]" c="Sep"/>
              <i n="[tbl_TrainingRecords].[Date (Month)].&amp;[Oct]" c="Oct"/>
              <i n="[tbl_TrainingRecords].[Date (Month)].&amp;[Nov]" c="Nov"/>
              <i n="[tbl_TrainingRecords].[Date (Month)].&amp;[Dec]" c="Dec"/>
            </range>
          </ranges>
        </level>
      </levels>
      <selections count="1">
        <selection n="[tbl_TrainingRecords].[Date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iner" xr10:uid="{8B6128E3-CC72-42D7-BBDF-9A9A88FB9A1E}" sourceName="[tbl_TrainingRecords].[Trainer]">
  <pivotTables>
    <pivotTable tabId="7" name="Pvt_Dept"/>
    <pivotTable tabId="7" name="Pvt_Month"/>
    <pivotTable tabId="7" name="Pvt_Topic"/>
    <pivotTable tabId="7" name="Pvt_Trainer"/>
  </pivotTables>
  <data>
    <olap pivotCacheId="1956875456">
      <levels count="2">
        <level uniqueName="[tbl_TrainingRecords].[Trainer].[(All)]" sourceCaption="(All)" count="0"/>
        <level uniqueName="[tbl_TrainingRecords].[Trainer].[Trainer]" sourceCaption="Trainer" count="8">
          <ranges>
            <range startItem="0">
              <i n="[tbl_TrainingRecords].[Trainer].&amp;[Trainer 01]" c="Trainer 01"/>
              <i n="[tbl_TrainingRecords].[Trainer].&amp;[Trainer 02]" c="Trainer 02"/>
              <i n="[tbl_TrainingRecords].[Trainer].&amp;[Trainer 03]" c="Trainer 03"/>
              <i n="[tbl_TrainingRecords].[Trainer].&amp;[Trainer 04]" c="Trainer 04"/>
              <i n="[tbl_TrainingRecords].[Trainer].&amp;[Trainer 05]" c="Trainer 05"/>
              <i n="[tbl_TrainingRecords].[Trainer].&amp;[Trainer 06]" c="Trainer 06"/>
              <i n="[tbl_TrainingRecords].[Trainer].&amp;[Trainer 07]" c="Trainer 07"/>
              <i n="[tbl_TrainingRecords].[Trainer].&amp;[Trainer 08]" c="Trainer 08"/>
            </range>
          </ranges>
        </level>
      </levels>
      <selections count="1">
        <selection n="[tbl_TrainingRecords].[Train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ining_Topic" xr10:uid="{AC1070C2-01EA-43D6-BB70-861CD1BE51B9}" sourceName="[tbl_TrainingRecords].[Training Topic]">
  <pivotTables>
    <pivotTable tabId="7" name="Pvt_Dept"/>
    <pivotTable tabId="7" name="Pvt_Month"/>
    <pivotTable tabId="7" name="Pvt_Topic"/>
    <pivotTable tabId="7" name="Pvt_Trainer"/>
  </pivotTables>
  <data>
    <olap pivotCacheId="1956875456">
      <levels count="2">
        <level uniqueName="[tbl_TrainingRecords].[Training Topic].[(All)]" sourceCaption="(All)" count="0"/>
        <level uniqueName="[tbl_TrainingRecords].[Training Topic].[Training Topic]" sourceCaption="Training Topic" count="10">
          <ranges>
            <range startItem="0">
              <i n="[tbl_TrainingRecords].[Training Topic].&amp;[Design Thinking]" c="Design Thinking"/>
              <i n="[tbl_TrainingRecords].[Training Topic].&amp;[Excel Techniques]" c="Excel Techniques"/>
              <i n="[tbl_TrainingRecords].[Training Topic].&amp;[Leadership]" c="Leadership"/>
              <i n="[tbl_TrainingRecords].[Training Topic].&amp;[Lean Manufacturing]" c="Lean Manufacturing"/>
              <i n="[tbl_TrainingRecords].[Training Topic].&amp;[Project Management]" c="Project Management"/>
              <i n="[tbl_TrainingRecords].[Training Topic].&amp;[Quality Management]" c="Quality Management"/>
              <i n="[tbl_TrainingRecords].[Training Topic].&amp;[Sales Strategies]" c="Sales Strategies"/>
              <i n="[tbl_TrainingRecords].[Training Topic].&amp;[SCM Principles]" c="SCM Principles"/>
              <i n="[tbl_TrainingRecords].[Training Topic].&amp;[Six Sigma]" c="Six Sigma"/>
              <i n="[tbl_TrainingRecords].[Training Topic].&amp;[Team Building]" c="Team Building"/>
            </range>
          </ranges>
        </level>
      </levels>
      <selections count="1">
        <selection n="[tbl_TrainingRecords].[Training Topic].[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8DE69A5-48ED-457E-9CCB-3168EF76F946}" cache="Slicer_Department" caption="Department" level="1" style="Others" rowHeight="216000"/>
  <slicer name="Date (Month)" xr10:uid="{58648ED7-E53C-48DB-877D-9D9E76249125}" cache="Slicer_Date__Month" caption="Date (Month)" columnCount="6" level="1" style="Month" rowHeight="216000"/>
  <slicer name="Trainer" xr10:uid="{A1F35D62-A094-4995-8D15-C4BAC3FAA2C8}" cache="Slicer_Trainer" caption="Trainer" columnCount="2" level="1" style="Others" rowHeight="216000"/>
  <slicer name="Training Topic" xr10:uid="{6F593546-E550-4E3A-9670-DC1EDE9880B5}" cache="Slicer_Training_Topic" caption="Training Topic" level="1" style="Others"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C47B0F-2813-42A4-89F5-A2E5217D11BA}" name="tbl_EmpDatabase" displayName="tbl_EmpDatabase" ref="A1:D97" totalsRowShown="0" headerRowDxfId="26" dataDxfId="25" tableBorderDxfId="24" headerRowCellStyle="Normal 2" dataCellStyle="Normal 2">
  <autoFilter ref="A1:D97" xr:uid="{29C47B0F-2813-42A4-89F5-A2E5217D11BA}"/>
  <sortState xmlns:xlrd2="http://schemas.microsoft.com/office/spreadsheetml/2017/richdata2" ref="A2:C97">
    <sortCondition ref="A1:A97"/>
  </sortState>
  <tableColumns count="4">
    <tableColumn id="1" xr3:uid="{F8A89678-F7AA-4CD8-8729-C084E84F83AA}" name="Employee ID" dataDxfId="23" dataCellStyle="Normal 2"/>
    <tableColumn id="3" xr3:uid="{58A96BC2-76EC-4430-B1CE-A4D83A198235}" name="Employee Name" dataDxfId="22" dataCellStyle="Normal 2"/>
    <tableColumn id="2" xr3:uid="{0990C55F-F514-4076-9B6E-5E7B3F274EB4}" name="Department" dataDxfId="21" dataCellStyle="Normal 2"/>
    <tableColumn id="4" xr3:uid="{5BBE856B-7F56-44B5-AC46-3D3A7C1E22B1}" name="Target Hrs." dataDxfId="2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4FAF97B-60AE-48D1-BE28-D6E058B7331F}" name="tbl_Trainer" displayName="tbl_Trainer" ref="G1:J9" totalsRowShown="0">
  <autoFilter ref="G1:J9" xr:uid="{A4FAF97B-60AE-48D1-BE28-D6E058B7331F}"/>
  <tableColumns count="4">
    <tableColumn id="1" xr3:uid="{08F4C2B1-8103-4276-84DA-AEADE3F36D39}" name="Trainer"/>
    <tableColumn id="2" xr3:uid="{488536F1-60CA-48BF-9AD2-B4514839011A}" name="Value" dataDxfId="19">
      <calculatedColumnFormula>IF($F$1=1,tbl_Trainer[[#This Row],[Training Hrs.]],tbl_Trainer[[#This Row],[Unique Trainee Count]])</calculatedColumnFormula>
    </tableColumn>
    <tableColumn id="3" xr3:uid="{2611DC35-3002-49BB-8D7A-2E9D9D715618}" name="Training Hrs." dataDxfId="18">
      <calculatedColumnFormula>GETPIVOTDATA("[Measures].[Sum of Training Hrs.]",Pivots!$K$1,"[tbl_TrainingRecords].[Trainer]","[tbl_TrainingRecords].[Trainer].&amp;["&amp; tbl_Trainer[[#This Row],[Trainer]]&amp;"]")</calculatedColumnFormula>
    </tableColumn>
    <tableColumn id="4" xr3:uid="{E1F2FCC3-60D3-4E6C-871D-6BC8C05E0254}" name="Unique Trainee Count" dataDxfId="17">
      <calculatedColumnFormula>GETPIVOTDATA("[Measures].[Count of Employee ID]",Pivots!$K$1,"[tbl_TrainingRecords].[Trainer]","[tbl_TrainingRecords].[Trainer].&amp;["&amp; tbl_Trainer[[#This Row],[Trainer]]&amp;"]")</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10D7DB7-95BC-42B4-9585-8CCE4F9AD587}" name="tbl_TrainingList" displayName="tbl_TrainingList" ref="L1:O11" totalsRowShown="0">
  <autoFilter ref="L1:O11" xr:uid="{C10D7DB7-95BC-42B4-9585-8CCE4F9AD587}"/>
  <tableColumns count="4">
    <tableColumn id="1" xr3:uid="{A36C3376-D7FE-489C-A050-FB0DE00B26F2}" name="Training Topic"/>
    <tableColumn id="2" xr3:uid="{A55337C3-1809-4246-AE44-42A30AE9FE8C}" name="Value" dataDxfId="16">
      <calculatedColumnFormula>IF($F$1=1,tbl_TrainingList[[#This Row],[Training Hrs.]],tbl_TrainingList[[#This Row],[Unique Trainee Count]])</calculatedColumnFormula>
    </tableColumn>
    <tableColumn id="3" xr3:uid="{72549D0F-187D-4AB1-B3AC-7733CE59C37B}" name="Training Hrs." dataDxfId="15">
      <calculatedColumnFormula>GETPIVOTDATA("[Measures].[Sum of Training Hrs.]",Pivots!$O$1,"[tbl_TrainingRecords].[Training Topic]","[tbl_TrainingRecords].[Training Topic].&amp;["&amp; tbl_TrainingList[[#This Row],[Training Topic]]&amp;"]")</calculatedColumnFormula>
    </tableColumn>
    <tableColumn id="4" xr3:uid="{69DC6A1B-CCE9-4A30-87D4-45AD14141804}" name="Unique Trainee Count" dataDxfId="14">
      <calculatedColumnFormula>GETPIVOTDATA("[Measures].[Count of Employee ID]",Pivots!$O$1,"[tbl_TrainingRecords].[Training Topic]","[tbl_TrainingRecords].[Training Topic].&amp;["&amp; tbl_TrainingList[[#This Row],[Training Topic]]&amp;"]")</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FF8BD92-6865-4E90-8B38-3BCA3BEABB84}" name="tbl_Department" displayName="tbl_Department" ref="R1:X10" totalsRowShown="0">
  <autoFilter ref="R1:X10" xr:uid="{FFF8BD92-6865-4E90-8B38-3BCA3BEABB84}"/>
  <tableColumns count="7">
    <tableColumn id="1" xr3:uid="{10730518-A3F8-4443-A458-584646E8AE83}" name="Department"/>
    <tableColumn id="2" xr3:uid="{AD171BB0-27D2-4230-8B38-B525F2FF2076}" name="Value" dataDxfId="13">
      <calculatedColumnFormula>IF($Q$1=1,tbl_Department[[#This Row],[Training Hrs.]],tbl_Department[[#This Row],[Avg Training Hrs/Emp]])</calculatedColumnFormula>
    </tableColumn>
    <tableColumn id="3" xr3:uid="{8B74E348-595C-45F5-8F6B-D9A680E9A4DA}" name="No. of Employee" dataDxfId="12">
      <calculatedColumnFormula>COUNTIF(tbl_TraineeRecords[Department],tbl_Department[[#This Row],[Department]])</calculatedColumnFormula>
    </tableColumn>
    <tableColumn id="4" xr3:uid="{67F96DD9-4BBA-46B7-A887-76B09012744D}" name="Target Hrs." dataDxfId="11">
      <calculatedColumnFormula>SUMIF(tbl_EmpDatabase[Department],tbl_Department[[#This Row],[Department]],tbl_EmpDatabase[Target Hrs.])</calculatedColumnFormula>
    </tableColumn>
    <tableColumn id="7" xr3:uid="{2EBC7474-C46F-458C-BFDB-772733B9B45F}" name="Training Hrs." dataDxfId="10">
      <calculatedColumnFormula>GETPIVOTDATA("[Measures].[Sum of Training Hrs. 2]",Pivots!$V$1,"[tbl_TraineeRecords].[Department]","[tbl_TraineeRecords].[Department].&amp;["&amp; tbl_Department[[#This Row],[Department]]&amp;"]")</calculatedColumnFormula>
    </tableColumn>
    <tableColumn id="5" xr3:uid="{DFF4700D-A914-4AAD-9AAE-6E98487FA451}" name="Avg Training Hrs/Emp" dataCellStyle="Comma">
      <calculatedColumnFormula>tbl_Department[[#This Row],[Training Hrs.]]/tbl_Department[[#This Row],[No. of Employee]]</calculatedColumnFormula>
    </tableColumn>
    <tableColumn id="6" xr3:uid="{63F4ED73-D234-4DA1-85CF-5D5CDAF1E78D}" name="Adherence %" dataCellStyle="Percent">
      <calculatedColumnFormula>tbl_Department[[#This Row],[Training Hrs.]]/tbl_Department[[#This Row],[Target Hrs.]]</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E407765-5BFF-4A97-85A6-FF2B872B7BB5}" name="tbl_Monthly" displayName="tbl_Monthly" ref="Z1:AA13" totalsRowShown="0">
  <autoFilter ref="Z1:AA13" xr:uid="{2E407765-5BFF-4A97-85A6-FF2B872B7BB5}"/>
  <tableColumns count="2">
    <tableColumn id="1" xr3:uid="{313FFB8F-2804-47FD-B2A2-01BD9AEAA6F0}" name="Month"/>
    <tableColumn id="2" xr3:uid="{8FDB6C50-D11F-4DF9-AE18-D15882CD1459}" name="Training Hrs." dataDxfId="9">
      <calculatedColumnFormula>GETPIVOTDATA("[Measures].[Sum of Training Hrs. 2]",Pivots!$S$1,"[tbl_TraineeRecords].[Date (Month)]","[tbl_TraineeRecords].[Date (Month)].&amp;["&amp; tbl_Monthly[[#This Row],[Month]]&amp;"]")</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9A5A01-B34E-4032-A39B-C72C2FD36871}" name="tbl_TrainingRecords" displayName="tbl_TrainingRecords" ref="A1:E36" totalsRowShown="0" headerRowDxfId="8">
  <autoFilter ref="A1:E36" xr:uid="{A77DF295-716C-483A-A7DE-5AD29D3EF388}"/>
  <sortState xmlns:xlrd2="http://schemas.microsoft.com/office/spreadsheetml/2017/richdata2" ref="A2:E34">
    <sortCondition ref="B1:B34"/>
  </sortState>
  <tableColumns count="5">
    <tableColumn id="1" xr3:uid="{8B6FAC8A-7B89-4247-849F-C50627E53F22}" name="# Trainer"/>
    <tableColumn id="10" xr3:uid="{127E2894-0B88-4EA0-89A0-0C1EA7A8025C}" name="Date" dataDxfId="7"/>
    <tableColumn id="4" xr3:uid="{9C9C9C48-47F7-441A-879F-BF91D151F843}" name="Training Topic"/>
    <tableColumn id="5" xr3:uid="{E065E0B7-0ABA-4137-8C8D-7F385327C814}" name="Trainer"/>
    <tableColumn id="6" xr3:uid="{08EBBF7E-D20D-47AC-9127-2C30FA9DE738}" name="Training H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C6260E-27BF-49E3-9D1B-BE42FA859D5A}" name="tbl_TraineeRecords" displayName="tbl_TraineeRecords" ref="A1:I446" totalsRowShown="0" headerRowDxfId="6">
  <autoFilter ref="A1:I446" xr:uid="{E1F68DE9-CBB7-478C-8AFF-E99381603F82}"/>
  <sortState xmlns:xlrd2="http://schemas.microsoft.com/office/spreadsheetml/2017/richdata2" ref="A2:I426">
    <sortCondition ref="B1:B426"/>
  </sortState>
  <tableColumns count="9">
    <tableColumn id="1" xr3:uid="{BFF8CB5F-7082-488B-A7BD-8DE82CEFC7B2}" name="#"/>
    <tableColumn id="7" xr3:uid="{88259F53-B7AB-470A-8E3C-57E9C3EE6A94}" name="# Trainer"/>
    <tableColumn id="2" xr3:uid="{D2A38323-804C-40F1-81B9-C359EB5319EE}" name="Date"/>
    <tableColumn id="3" xr3:uid="{6D9D6D96-1653-48FB-9189-518A4CE46B00}" name="Training Topic"/>
    <tableColumn id="4" xr3:uid="{56A3305F-2DC4-41D4-B9F2-A3C865F534CE}" name="Trainer"/>
    <tableColumn id="5" xr3:uid="{3E8F183C-D67C-4963-BA30-0684D0B88952}" name="Training Hrs."/>
    <tableColumn id="6" xr3:uid="{A75E5E87-8C40-49C5-8379-8ACC161E81FB}" name="Employee ID"/>
    <tableColumn id="8" xr3:uid="{11351D91-74AB-47E7-B21D-4AFDB16E486B}" name="Employee Name" dataDxfId="5"/>
    <tableColumn id="9" xr3:uid="{0A164F13-77D2-41A6-9E7F-7176D2552601}" name="Department" dataDxfId="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vmlDrawing" Target="../drawings/vmlDrawing1.vml"/><Relationship Id="rId7" Type="http://schemas.openxmlformats.org/officeDocument/2006/relationships/image" Target="../media/image22.emf"/><Relationship Id="rId12"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21.emf"/><Relationship Id="rId15" Type="http://schemas.microsoft.com/office/2007/relationships/slicer" Target="../slicers/slicer1.xml"/><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65E7C-47F7-4D1F-A2D3-E39E8CC024C5}">
  <sheetPr codeName="Sheet1"/>
  <dimension ref="A1"/>
  <sheetViews>
    <sheetView zoomScale="160" zoomScaleNormal="160" workbookViewId="0">
      <selection activeCell="L8" sqref="L8"/>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79EAC-D026-4BA7-BDD0-DA53BA67AF57}">
  <dimension ref="B1:AI99"/>
  <sheetViews>
    <sheetView topLeftCell="X1" zoomScale="160" zoomScaleNormal="160" workbookViewId="0">
      <selection activeCell="AB1" sqref="AB1"/>
    </sheetView>
  </sheetViews>
  <sheetFormatPr defaultRowHeight="15" x14ac:dyDescent="0.25"/>
  <cols>
    <col min="2" max="2" width="19.28515625" bestFit="1" customWidth="1"/>
    <col min="3" max="3" width="5.42578125" customWidth="1"/>
    <col min="5" max="5" width="19.28515625" bestFit="1" customWidth="1"/>
    <col min="6" max="6" width="5.42578125" customWidth="1"/>
    <col min="8" max="8" width="19.28515625" bestFit="1" customWidth="1"/>
    <col min="9" max="9" width="5.42578125" customWidth="1"/>
    <col min="11" max="11" width="11.28515625" customWidth="1"/>
    <col min="12" max="12" width="19.28515625" bestFit="1" customWidth="1"/>
    <col min="13" max="13" width="21" bestFit="1" customWidth="1"/>
    <col min="15" max="15" width="19.42578125" bestFit="1" customWidth="1"/>
    <col min="16" max="16" width="19.28515625" bestFit="1" customWidth="1"/>
    <col min="17" max="17" width="21" bestFit="1" customWidth="1"/>
    <col min="19" max="19" width="19.28515625" bestFit="1" customWidth="1"/>
    <col min="20" max="20" width="5.42578125" customWidth="1"/>
    <col min="21" max="21" width="15.42578125" customWidth="1"/>
    <col min="22" max="22" width="19.28515625" bestFit="1" customWidth="1"/>
    <col min="23" max="23" width="5.42578125" customWidth="1"/>
    <col min="24" max="24" width="15.42578125" customWidth="1"/>
    <col min="25" max="25" width="21" bestFit="1" customWidth="1"/>
    <col min="26" max="26" width="5.42578125" customWidth="1"/>
    <col min="27" max="27" width="15.42578125" customWidth="1"/>
    <col min="28" max="28" width="19.7109375" bestFit="1" customWidth="1"/>
    <col min="29" max="29" width="9.28515625" bestFit="1" customWidth="1"/>
    <col min="30" max="30" width="15.42578125" customWidth="1"/>
    <col min="31" max="31" width="15.42578125" bestFit="1" customWidth="1"/>
    <col min="32" max="32" width="12.28515625" bestFit="1" customWidth="1"/>
    <col min="33" max="36" width="15.42578125" bestFit="1" customWidth="1"/>
    <col min="37" max="42" width="15.140625" bestFit="1" customWidth="1"/>
    <col min="43" max="43" width="11.28515625" bestFit="1" customWidth="1"/>
    <col min="44" max="65" width="15.140625" bestFit="1" customWidth="1"/>
    <col min="66" max="66" width="11.28515625" bestFit="1" customWidth="1"/>
  </cols>
  <sheetData>
    <row r="1" spans="2:35" x14ac:dyDescent="0.25">
      <c r="B1" s="19" t="s">
        <v>249</v>
      </c>
      <c r="E1" s="19" t="s">
        <v>249</v>
      </c>
      <c r="H1" s="19" t="s">
        <v>249</v>
      </c>
      <c r="L1" s="19" t="s">
        <v>251</v>
      </c>
      <c r="P1" s="19" t="s">
        <v>251</v>
      </c>
      <c r="S1" s="19" t="s">
        <v>249</v>
      </c>
      <c r="V1" s="19" t="s">
        <v>249</v>
      </c>
      <c r="Y1" s="19" t="s">
        <v>252</v>
      </c>
      <c r="AB1" s="19" t="s">
        <v>258</v>
      </c>
      <c r="AE1">
        <v>3</v>
      </c>
    </row>
    <row r="2" spans="2:35" x14ac:dyDescent="0.25">
      <c r="B2" s="19" t="s">
        <v>3</v>
      </c>
      <c r="C2" t="s">
        <v>248</v>
      </c>
      <c r="E2" s="19" t="s">
        <v>2</v>
      </c>
      <c r="F2" t="s">
        <v>248</v>
      </c>
      <c r="H2" s="19" t="s">
        <v>26</v>
      </c>
      <c r="I2" t="s">
        <v>248</v>
      </c>
      <c r="K2" s="19" t="s">
        <v>3</v>
      </c>
      <c r="L2" t="s">
        <v>249</v>
      </c>
      <c r="M2" t="s">
        <v>252</v>
      </c>
      <c r="O2" s="19" t="s">
        <v>2</v>
      </c>
      <c r="P2" t="s">
        <v>249</v>
      </c>
      <c r="Q2" t="s">
        <v>252</v>
      </c>
      <c r="S2" s="19" t="s">
        <v>253</v>
      </c>
      <c r="T2" t="s">
        <v>248</v>
      </c>
      <c r="V2" s="19" t="s">
        <v>27</v>
      </c>
      <c r="W2" t="s">
        <v>248</v>
      </c>
      <c r="Y2" s="19" t="s">
        <v>257</v>
      </c>
      <c r="Z2" t="s">
        <v>248</v>
      </c>
      <c r="AB2" s="19" t="s">
        <v>26</v>
      </c>
      <c r="AC2" t="s">
        <v>248</v>
      </c>
      <c r="AE2" s="39" t="s">
        <v>26</v>
      </c>
      <c r="AF2" s="39" t="s">
        <v>259</v>
      </c>
      <c r="AG2" s="39" t="s">
        <v>260</v>
      </c>
      <c r="AH2" s="39" t="s">
        <v>261</v>
      </c>
      <c r="AI2" s="39" t="s">
        <v>254</v>
      </c>
    </row>
    <row r="3" spans="2:35" x14ac:dyDescent="0.25">
      <c r="B3" t="s">
        <v>6</v>
      </c>
      <c r="C3" s="43">
        <v>38</v>
      </c>
      <c r="E3" t="s">
        <v>23</v>
      </c>
      <c r="F3" s="43">
        <v>32</v>
      </c>
      <c r="H3" t="s">
        <v>138</v>
      </c>
      <c r="I3" s="43">
        <v>56</v>
      </c>
      <c r="K3" t="s">
        <v>12</v>
      </c>
      <c r="L3" s="43">
        <v>22</v>
      </c>
      <c r="M3" s="43">
        <v>56</v>
      </c>
      <c r="O3" t="s">
        <v>9</v>
      </c>
      <c r="P3" s="43">
        <v>15</v>
      </c>
      <c r="Q3" s="43">
        <v>31</v>
      </c>
      <c r="S3" t="s">
        <v>236</v>
      </c>
      <c r="T3" s="43">
        <v>163</v>
      </c>
      <c r="V3" t="s">
        <v>80</v>
      </c>
      <c r="W3" s="43">
        <v>287</v>
      </c>
      <c r="Y3" t="s">
        <v>254</v>
      </c>
      <c r="Z3" s="43">
        <v>64</v>
      </c>
      <c r="AB3" t="s">
        <v>29</v>
      </c>
      <c r="AC3" s="38">
        <v>0.7142857142857143</v>
      </c>
      <c r="AE3" s="40" t="str" cm="1">
        <f t="array" aca="1" ref="AE3:AF12" ca="1">OFFSET($AB$2,AE1,0,10,2)</f>
        <v>Emplyee003</v>
      </c>
      <c r="AF3" s="41">
        <f ca="1"/>
        <v>0.52500000000000002</v>
      </c>
      <c r="AG3" s="42" t="b">
        <f ca="1">IF(AF3&gt;=1,AF3,FALSE)</f>
        <v>0</v>
      </c>
      <c r="AH3" s="42" t="b">
        <f ca="1">IF(AND(AF3&lt;100%,AF3&gt;=80%),AF3,FALSE)</f>
        <v>0</v>
      </c>
      <c r="AI3" s="42">
        <f ca="1">IF(AF3&lt;80%,AF3,FALSE)</f>
        <v>0.52500000000000002</v>
      </c>
    </row>
    <row r="4" spans="2:35" x14ac:dyDescent="0.25">
      <c r="B4" t="s">
        <v>250</v>
      </c>
      <c r="C4" s="43">
        <v>38</v>
      </c>
      <c r="E4" t="s">
        <v>250</v>
      </c>
      <c r="F4" s="43">
        <v>32</v>
      </c>
      <c r="H4" t="s">
        <v>250</v>
      </c>
      <c r="I4" s="43">
        <v>56</v>
      </c>
      <c r="K4" t="s">
        <v>10</v>
      </c>
      <c r="L4" s="43">
        <v>15</v>
      </c>
      <c r="M4" s="43">
        <v>31</v>
      </c>
      <c r="O4" t="s">
        <v>13</v>
      </c>
      <c r="P4" s="43">
        <v>30</v>
      </c>
      <c r="Q4" s="43">
        <v>75</v>
      </c>
      <c r="S4" t="s">
        <v>237</v>
      </c>
      <c r="T4" s="43">
        <v>195</v>
      </c>
      <c r="V4" t="s">
        <v>122</v>
      </c>
      <c r="W4" s="43">
        <v>138</v>
      </c>
      <c r="Y4" t="s">
        <v>255</v>
      </c>
      <c r="Z4" s="43">
        <v>15</v>
      </c>
      <c r="AB4" t="s">
        <v>96</v>
      </c>
      <c r="AC4" s="38">
        <v>0.46666666666666667</v>
      </c>
      <c r="AE4" s="40" t="str">
        <f ca="1"/>
        <v>Emplyee004</v>
      </c>
      <c r="AF4" s="41">
        <f ca="1"/>
        <v>1.05</v>
      </c>
      <c r="AG4" s="42">
        <f t="shared" ref="AG4:AG12" ca="1" si="0">IF(AF4&gt;=1,AF4,FALSE)</f>
        <v>1.05</v>
      </c>
      <c r="AH4" s="42" t="b">
        <f t="shared" ref="AH4:AH12" ca="1" si="1">IF(AND(AF4&lt;100%,AF4&gt;=80%),AF4,FALSE)</f>
        <v>0</v>
      </c>
      <c r="AI4" s="42" t="b">
        <f t="shared" ref="AI4:AI12" ca="1" si="2">IF(AF4&lt;80%,AF4,FALSE)</f>
        <v>0</v>
      </c>
    </row>
    <row r="5" spans="2:35" x14ac:dyDescent="0.25">
      <c r="K5" t="s">
        <v>14</v>
      </c>
      <c r="L5" s="43">
        <v>33</v>
      </c>
      <c r="M5" s="43">
        <v>80</v>
      </c>
      <c r="O5" t="s">
        <v>19</v>
      </c>
      <c r="P5" s="43">
        <v>9</v>
      </c>
      <c r="Q5" s="43">
        <v>40</v>
      </c>
      <c r="S5" t="s">
        <v>238</v>
      </c>
      <c r="T5" s="43">
        <v>147</v>
      </c>
      <c r="V5" t="s">
        <v>97</v>
      </c>
      <c r="W5" s="43">
        <v>117</v>
      </c>
      <c r="Y5" t="s">
        <v>256</v>
      </c>
      <c r="Z5" s="43">
        <v>17</v>
      </c>
      <c r="AB5" t="s">
        <v>212</v>
      </c>
      <c r="AC5" s="38">
        <v>0.52500000000000002</v>
      </c>
      <c r="AE5" s="40" t="str">
        <f ca="1"/>
        <v>Emplyee005</v>
      </c>
      <c r="AF5" s="41">
        <f ca="1"/>
        <v>0.82857142857142863</v>
      </c>
      <c r="AG5" s="42" t="b">
        <f t="shared" ca="1" si="0"/>
        <v>0</v>
      </c>
      <c r="AH5" s="42">
        <f t="shared" ca="1" si="1"/>
        <v>0.82857142857142863</v>
      </c>
      <c r="AI5" s="42" t="b">
        <f t="shared" ca="1" si="2"/>
        <v>0</v>
      </c>
    </row>
    <row r="6" spans="2:35" x14ac:dyDescent="0.25">
      <c r="K6" t="s">
        <v>6</v>
      </c>
      <c r="L6" s="43">
        <v>38</v>
      </c>
      <c r="M6" s="43">
        <v>38</v>
      </c>
      <c r="O6" t="s">
        <v>15</v>
      </c>
      <c r="P6" s="43">
        <v>24</v>
      </c>
      <c r="Q6" s="43">
        <v>57</v>
      </c>
      <c r="S6" t="s">
        <v>239</v>
      </c>
      <c r="T6" s="43">
        <v>222</v>
      </c>
      <c r="V6" t="s">
        <v>119</v>
      </c>
      <c r="W6" s="43">
        <v>80</v>
      </c>
      <c r="Y6" t="s">
        <v>250</v>
      </c>
      <c r="Z6" s="43">
        <v>96</v>
      </c>
      <c r="AB6" t="s">
        <v>32</v>
      </c>
      <c r="AC6" s="38">
        <v>1.05</v>
      </c>
      <c r="AE6" s="40" t="str">
        <f ca="1"/>
        <v>Emplyee006</v>
      </c>
      <c r="AF6" s="41">
        <f ca="1"/>
        <v>0.7</v>
      </c>
      <c r="AG6" s="42" t="b">
        <f t="shared" ca="1" si="0"/>
        <v>0</v>
      </c>
      <c r="AH6" s="42" t="b">
        <f t="shared" ca="1" si="1"/>
        <v>0</v>
      </c>
      <c r="AI6" s="42">
        <f t="shared" ca="1" si="2"/>
        <v>0.7</v>
      </c>
    </row>
    <row r="7" spans="2:35" x14ac:dyDescent="0.25">
      <c r="K7" t="s">
        <v>21</v>
      </c>
      <c r="L7" s="43">
        <v>12</v>
      </c>
      <c r="M7" s="43">
        <v>38</v>
      </c>
      <c r="O7" t="s">
        <v>20</v>
      </c>
      <c r="P7" s="43">
        <v>15</v>
      </c>
      <c r="Q7" s="43">
        <v>43</v>
      </c>
      <c r="S7" t="s">
        <v>240</v>
      </c>
      <c r="T7" s="43">
        <v>253</v>
      </c>
      <c r="V7" t="s">
        <v>30</v>
      </c>
      <c r="W7" s="43">
        <v>639</v>
      </c>
      <c r="AB7" t="s">
        <v>118</v>
      </c>
      <c r="AC7" s="38">
        <v>0.82857142857142863</v>
      </c>
      <c r="AE7" s="40" t="str">
        <f ca="1"/>
        <v>Emplyee007</v>
      </c>
      <c r="AF7" s="41">
        <f ca="1"/>
        <v>0.36</v>
      </c>
      <c r="AG7" s="42" t="b">
        <f t="shared" ca="1" si="0"/>
        <v>0</v>
      </c>
      <c r="AH7" s="42" t="b">
        <f t="shared" ca="1" si="1"/>
        <v>0</v>
      </c>
      <c r="AI7" s="42">
        <f t="shared" ca="1" si="2"/>
        <v>0.36</v>
      </c>
    </row>
    <row r="8" spans="2:35" x14ac:dyDescent="0.25">
      <c r="K8" t="s">
        <v>18</v>
      </c>
      <c r="L8" s="43">
        <v>24</v>
      </c>
      <c r="M8" s="43">
        <v>71</v>
      </c>
      <c r="O8" t="s">
        <v>22</v>
      </c>
      <c r="P8" s="43">
        <v>13</v>
      </c>
      <c r="Q8" s="43">
        <v>34</v>
      </c>
      <c r="S8" t="s">
        <v>241</v>
      </c>
      <c r="T8" s="43">
        <v>192</v>
      </c>
      <c r="V8" t="s">
        <v>43</v>
      </c>
      <c r="W8" s="43">
        <v>194</v>
      </c>
      <c r="AB8" t="s">
        <v>121</v>
      </c>
      <c r="AC8" s="38">
        <v>0.7</v>
      </c>
      <c r="AE8" s="40" t="str">
        <f ca="1"/>
        <v>Emplyee008</v>
      </c>
      <c r="AF8" s="41">
        <f ca="1"/>
        <v>0.88</v>
      </c>
      <c r="AG8" s="42" t="b">
        <f t="shared" ca="1" si="0"/>
        <v>0</v>
      </c>
      <c r="AH8" s="42">
        <f t="shared" ca="1" si="1"/>
        <v>0.88</v>
      </c>
      <c r="AI8" s="42" t="b">
        <f t="shared" ca="1" si="2"/>
        <v>0</v>
      </c>
    </row>
    <row r="9" spans="2:35" x14ac:dyDescent="0.25">
      <c r="K9" t="s">
        <v>8</v>
      </c>
      <c r="L9" s="43">
        <v>14</v>
      </c>
      <c r="M9" s="43">
        <v>56</v>
      </c>
      <c r="O9" t="s">
        <v>17</v>
      </c>
      <c r="P9" s="43">
        <v>15</v>
      </c>
      <c r="Q9" s="43">
        <v>31</v>
      </c>
      <c r="S9" t="s">
        <v>242</v>
      </c>
      <c r="T9" s="43">
        <v>288</v>
      </c>
      <c r="V9" t="s">
        <v>33</v>
      </c>
      <c r="W9" s="43">
        <v>309</v>
      </c>
      <c r="AB9" t="s">
        <v>65</v>
      </c>
      <c r="AC9" s="38">
        <v>0.36</v>
      </c>
      <c r="AE9" s="40" t="str">
        <f ca="1"/>
        <v>Emplyee009</v>
      </c>
      <c r="AF9" s="41">
        <f ca="1"/>
        <v>0.4</v>
      </c>
      <c r="AG9" s="42" t="b">
        <f t="shared" ca="1" si="0"/>
        <v>0</v>
      </c>
      <c r="AH9" s="42" t="b">
        <f t="shared" ca="1" si="1"/>
        <v>0</v>
      </c>
      <c r="AI9" s="42">
        <f t="shared" ca="1" si="2"/>
        <v>0.4</v>
      </c>
    </row>
    <row r="10" spans="2:35" x14ac:dyDescent="0.25">
      <c r="K10" t="s">
        <v>16</v>
      </c>
      <c r="L10" s="43">
        <v>31</v>
      </c>
      <c r="M10" s="43">
        <v>75</v>
      </c>
      <c r="O10" t="s">
        <v>7</v>
      </c>
      <c r="P10" s="43">
        <v>14</v>
      </c>
      <c r="Q10" s="43">
        <v>56</v>
      </c>
      <c r="S10" t="s">
        <v>243</v>
      </c>
      <c r="T10" s="43">
        <v>268</v>
      </c>
      <c r="V10" t="s">
        <v>102</v>
      </c>
      <c r="W10" s="43">
        <v>138</v>
      </c>
      <c r="AB10" t="s">
        <v>99</v>
      </c>
      <c r="AC10" s="38">
        <v>0.88</v>
      </c>
      <c r="AE10" s="40" t="str">
        <f ca="1"/>
        <v>Emplyee010</v>
      </c>
      <c r="AF10" s="41">
        <f ca="1"/>
        <v>1</v>
      </c>
      <c r="AG10" s="42">
        <f t="shared" ca="1" si="0"/>
        <v>1</v>
      </c>
      <c r="AH10" s="42" t="b">
        <f t="shared" ca="1" si="1"/>
        <v>0</v>
      </c>
      <c r="AI10" s="42" t="b">
        <f t="shared" ca="1" si="2"/>
        <v>0</v>
      </c>
    </row>
    <row r="11" spans="2:35" x14ac:dyDescent="0.25">
      <c r="K11" t="s">
        <v>250</v>
      </c>
      <c r="L11" s="43">
        <v>189</v>
      </c>
      <c r="M11" s="43">
        <v>445</v>
      </c>
      <c r="O11" t="s">
        <v>23</v>
      </c>
      <c r="P11" s="43">
        <v>32</v>
      </c>
      <c r="Q11" s="43">
        <v>22</v>
      </c>
      <c r="S11" t="s">
        <v>244</v>
      </c>
      <c r="T11" s="43">
        <v>104</v>
      </c>
      <c r="V11" t="s">
        <v>36</v>
      </c>
      <c r="W11" s="43">
        <v>476</v>
      </c>
      <c r="AB11" t="s">
        <v>188</v>
      </c>
      <c r="AC11" s="38">
        <v>0.4</v>
      </c>
      <c r="AE11" s="40" t="str">
        <f ca="1"/>
        <v>Emplyee011</v>
      </c>
      <c r="AF11" s="41">
        <f ca="1"/>
        <v>0.5714285714285714</v>
      </c>
      <c r="AG11" s="42" t="b">
        <f t="shared" ca="1" si="0"/>
        <v>0</v>
      </c>
      <c r="AH11" s="42" t="b">
        <f t="shared" ca="1" si="1"/>
        <v>0</v>
      </c>
      <c r="AI11" s="42">
        <f t="shared" ca="1" si="2"/>
        <v>0.5714285714285714</v>
      </c>
    </row>
    <row r="12" spans="2:35" x14ac:dyDescent="0.25">
      <c r="O12" t="s">
        <v>11</v>
      </c>
      <c r="P12" s="43">
        <v>22</v>
      </c>
      <c r="Q12" s="43">
        <v>56</v>
      </c>
      <c r="S12" t="s">
        <v>245</v>
      </c>
      <c r="T12" s="43">
        <v>222</v>
      </c>
      <c r="V12" t="s">
        <v>250</v>
      </c>
      <c r="W12" s="43">
        <v>2378</v>
      </c>
      <c r="AB12" t="s">
        <v>35</v>
      </c>
      <c r="AC12" s="38">
        <v>1</v>
      </c>
      <c r="AE12" s="40" t="str">
        <f ca="1"/>
        <v>Emplyee012</v>
      </c>
      <c r="AF12" s="41">
        <f ca="1"/>
        <v>0.4</v>
      </c>
      <c r="AG12" s="42" t="b">
        <f t="shared" ca="1" si="0"/>
        <v>0</v>
      </c>
      <c r="AH12" s="42" t="b">
        <f t="shared" ca="1" si="1"/>
        <v>0</v>
      </c>
      <c r="AI12" s="42">
        <f t="shared" ca="1" si="2"/>
        <v>0.4</v>
      </c>
    </row>
    <row r="13" spans="2:35" x14ac:dyDescent="0.25">
      <c r="O13" t="s">
        <v>250</v>
      </c>
      <c r="P13" s="43">
        <v>189</v>
      </c>
      <c r="Q13" s="43">
        <v>445</v>
      </c>
      <c r="S13" t="s">
        <v>246</v>
      </c>
      <c r="T13" s="43">
        <v>110</v>
      </c>
      <c r="AB13" t="s">
        <v>214</v>
      </c>
      <c r="AC13" s="38">
        <v>0.5714285714285714</v>
      </c>
    </row>
    <row r="14" spans="2:35" x14ac:dyDescent="0.25">
      <c r="S14" t="s">
        <v>247</v>
      </c>
      <c r="T14" s="43">
        <v>214</v>
      </c>
      <c r="AB14" t="s">
        <v>224</v>
      </c>
      <c r="AC14" s="38">
        <v>0.4</v>
      </c>
    </row>
    <row r="15" spans="2:35" x14ac:dyDescent="0.25">
      <c r="S15" t="s">
        <v>250</v>
      </c>
      <c r="T15" s="43">
        <v>2378</v>
      </c>
      <c r="AB15" t="s">
        <v>67</v>
      </c>
      <c r="AC15" s="38">
        <v>0.26666666666666666</v>
      </c>
    </row>
    <row r="16" spans="2:35" x14ac:dyDescent="0.25">
      <c r="AB16" t="s">
        <v>79</v>
      </c>
      <c r="AC16" s="38">
        <v>1.1000000000000001</v>
      </c>
    </row>
    <row r="17" spans="28:29" x14ac:dyDescent="0.25">
      <c r="AB17" t="s">
        <v>226</v>
      </c>
      <c r="AC17" s="38">
        <v>0.4</v>
      </c>
    </row>
    <row r="18" spans="28:29" x14ac:dyDescent="0.25">
      <c r="AB18" t="s">
        <v>172</v>
      </c>
      <c r="AC18" s="38">
        <v>0.65</v>
      </c>
    </row>
    <row r="19" spans="28:29" x14ac:dyDescent="0.25">
      <c r="AB19" t="s">
        <v>101</v>
      </c>
      <c r="AC19" s="38">
        <v>1.05</v>
      </c>
    </row>
    <row r="20" spans="28:29" x14ac:dyDescent="0.25">
      <c r="AB20" t="s">
        <v>144</v>
      </c>
      <c r="AC20" s="38">
        <v>0.625</v>
      </c>
    </row>
    <row r="21" spans="28:29" x14ac:dyDescent="0.25">
      <c r="AB21" t="s">
        <v>158</v>
      </c>
      <c r="AC21" s="38">
        <v>0.68</v>
      </c>
    </row>
    <row r="22" spans="28:29" x14ac:dyDescent="0.25">
      <c r="AB22" t="s">
        <v>38</v>
      </c>
      <c r="AC22" s="38">
        <v>0.91428571428571426</v>
      </c>
    </row>
    <row r="23" spans="28:29" x14ac:dyDescent="0.25">
      <c r="AB23" t="s">
        <v>182</v>
      </c>
      <c r="AC23" s="38">
        <v>0.26666666666666666</v>
      </c>
    </row>
    <row r="24" spans="28:29" x14ac:dyDescent="0.25">
      <c r="AB24" t="s">
        <v>184</v>
      </c>
      <c r="AC24" s="38">
        <v>0.6</v>
      </c>
    </row>
    <row r="25" spans="28:29" x14ac:dyDescent="0.25">
      <c r="AB25" t="s">
        <v>69</v>
      </c>
      <c r="AC25" s="38">
        <v>0.45</v>
      </c>
    </row>
    <row r="26" spans="28:29" x14ac:dyDescent="0.25">
      <c r="AB26" t="s">
        <v>104</v>
      </c>
      <c r="AC26" s="38">
        <v>0.73333333333333328</v>
      </c>
    </row>
    <row r="27" spans="28:29" x14ac:dyDescent="0.25">
      <c r="AB27" t="s">
        <v>216</v>
      </c>
      <c r="AC27" s="38">
        <v>0.46</v>
      </c>
    </row>
    <row r="28" spans="28:29" x14ac:dyDescent="0.25">
      <c r="AB28" t="s">
        <v>124</v>
      </c>
      <c r="AC28" s="38">
        <v>0.54</v>
      </c>
    </row>
    <row r="29" spans="28:29" x14ac:dyDescent="0.25">
      <c r="AB29" t="s">
        <v>126</v>
      </c>
      <c r="AC29" s="38">
        <v>0.92500000000000004</v>
      </c>
    </row>
    <row r="30" spans="28:29" x14ac:dyDescent="0.25">
      <c r="AB30" t="s">
        <v>162</v>
      </c>
      <c r="AC30" s="38">
        <v>0.33333333333333331</v>
      </c>
    </row>
    <row r="31" spans="28:29" x14ac:dyDescent="0.25">
      <c r="AB31" t="s">
        <v>40</v>
      </c>
      <c r="AC31" s="38">
        <v>0.66666666666666663</v>
      </c>
    </row>
    <row r="32" spans="28:29" x14ac:dyDescent="0.25">
      <c r="AB32" t="s">
        <v>146</v>
      </c>
      <c r="AC32" s="38">
        <v>0.62</v>
      </c>
    </row>
    <row r="33" spans="28:29" x14ac:dyDescent="0.25">
      <c r="AB33" t="s">
        <v>174</v>
      </c>
      <c r="AC33" s="38">
        <v>0.8666666666666667</v>
      </c>
    </row>
    <row r="34" spans="28:29" x14ac:dyDescent="0.25">
      <c r="AB34" t="s">
        <v>148</v>
      </c>
      <c r="AC34" s="38">
        <v>0.66666666666666663</v>
      </c>
    </row>
    <row r="35" spans="28:29" x14ac:dyDescent="0.25">
      <c r="AB35" t="s">
        <v>42</v>
      </c>
      <c r="AC35" s="38">
        <v>1.0666666666666667</v>
      </c>
    </row>
    <row r="36" spans="28:29" x14ac:dyDescent="0.25">
      <c r="AB36" t="s">
        <v>106</v>
      </c>
      <c r="AC36" s="38">
        <v>1.08</v>
      </c>
    </row>
    <row r="37" spans="28:29" x14ac:dyDescent="0.25">
      <c r="AB37" t="s">
        <v>222</v>
      </c>
      <c r="AC37" s="38">
        <v>0.32</v>
      </c>
    </row>
    <row r="38" spans="28:29" x14ac:dyDescent="0.25">
      <c r="AB38" t="s">
        <v>128</v>
      </c>
      <c r="AC38" s="38">
        <v>0.4</v>
      </c>
    </row>
    <row r="39" spans="28:29" x14ac:dyDescent="0.25">
      <c r="AB39" t="s">
        <v>45</v>
      </c>
      <c r="AC39" s="38">
        <v>0.91111111111111109</v>
      </c>
    </row>
    <row r="40" spans="28:29" x14ac:dyDescent="0.25">
      <c r="AB40" t="s">
        <v>208</v>
      </c>
      <c r="AC40" s="38">
        <v>0.6</v>
      </c>
    </row>
    <row r="41" spans="28:29" x14ac:dyDescent="0.25">
      <c r="AB41" t="s">
        <v>71</v>
      </c>
      <c r="AC41" s="38">
        <v>0.73333333333333328</v>
      </c>
    </row>
    <row r="42" spans="28:29" x14ac:dyDescent="0.25">
      <c r="AB42" t="s">
        <v>47</v>
      </c>
      <c r="AC42" s="38">
        <v>0.25</v>
      </c>
    </row>
    <row r="43" spans="28:29" x14ac:dyDescent="0.25">
      <c r="AB43" t="s">
        <v>190</v>
      </c>
      <c r="AC43" s="38">
        <v>0.42499999999999999</v>
      </c>
    </row>
    <row r="44" spans="28:29" x14ac:dyDescent="0.25">
      <c r="AB44" t="s">
        <v>49</v>
      </c>
      <c r="AC44" s="38">
        <v>0.52</v>
      </c>
    </row>
    <row r="45" spans="28:29" x14ac:dyDescent="0.25">
      <c r="AB45" t="s">
        <v>51</v>
      </c>
      <c r="AC45" s="38">
        <v>1.0285714285714285</v>
      </c>
    </row>
    <row r="46" spans="28:29" x14ac:dyDescent="0.25">
      <c r="AB46" t="s">
        <v>150</v>
      </c>
      <c r="AC46" s="38">
        <v>1.125</v>
      </c>
    </row>
    <row r="47" spans="28:29" x14ac:dyDescent="0.25">
      <c r="AB47" t="s">
        <v>130</v>
      </c>
      <c r="AC47" s="38">
        <v>0.9</v>
      </c>
    </row>
    <row r="48" spans="28:29" x14ac:dyDescent="0.25">
      <c r="AB48" t="s">
        <v>200</v>
      </c>
      <c r="AC48" s="38">
        <v>0.68571428571428572</v>
      </c>
    </row>
    <row r="49" spans="28:29" x14ac:dyDescent="0.25">
      <c r="AB49" t="s">
        <v>82</v>
      </c>
      <c r="AC49" s="38">
        <v>0.6</v>
      </c>
    </row>
    <row r="50" spans="28:29" x14ac:dyDescent="0.25">
      <c r="AB50" t="s">
        <v>164</v>
      </c>
      <c r="AC50" s="38">
        <v>1</v>
      </c>
    </row>
    <row r="51" spans="28:29" x14ac:dyDescent="0.25">
      <c r="AB51" t="s">
        <v>53</v>
      </c>
      <c r="AC51" s="38">
        <v>0.2857142857142857</v>
      </c>
    </row>
    <row r="52" spans="28:29" x14ac:dyDescent="0.25">
      <c r="AB52" t="s">
        <v>108</v>
      </c>
      <c r="AC52" s="38">
        <v>0.73333333333333328</v>
      </c>
    </row>
    <row r="53" spans="28:29" x14ac:dyDescent="0.25">
      <c r="AB53" t="s">
        <v>55</v>
      </c>
      <c r="AC53" s="38">
        <v>0.48</v>
      </c>
    </row>
    <row r="54" spans="28:29" x14ac:dyDescent="0.25">
      <c r="AB54" t="s">
        <v>84</v>
      </c>
      <c r="AC54" s="38">
        <v>0.8666666666666667</v>
      </c>
    </row>
    <row r="55" spans="28:29" x14ac:dyDescent="0.25">
      <c r="AB55" t="s">
        <v>73</v>
      </c>
      <c r="AC55" s="38">
        <v>0.57499999999999996</v>
      </c>
    </row>
    <row r="56" spans="28:29" x14ac:dyDescent="0.25">
      <c r="AB56" t="s">
        <v>132</v>
      </c>
      <c r="AC56" s="38">
        <v>0.875</v>
      </c>
    </row>
    <row r="57" spans="28:29" x14ac:dyDescent="0.25">
      <c r="AB57" t="s">
        <v>110</v>
      </c>
      <c r="AC57" s="38">
        <v>0.7</v>
      </c>
    </row>
    <row r="58" spans="28:29" x14ac:dyDescent="0.25">
      <c r="AB58" t="s">
        <v>160</v>
      </c>
      <c r="AC58" s="38">
        <v>0.46666666666666667</v>
      </c>
    </row>
    <row r="59" spans="28:29" x14ac:dyDescent="0.25">
      <c r="AB59" t="s">
        <v>57</v>
      </c>
      <c r="AC59" s="38">
        <v>1.0666666666666667</v>
      </c>
    </row>
    <row r="60" spans="28:29" x14ac:dyDescent="0.25">
      <c r="AB60" t="s">
        <v>112</v>
      </c>
      <c r="AC60" s="38">
        <v>1.1714285714285715</v>
      </c>
    </row>
    <row r="61" spans="28:29" x14ac:dyDescent="0.25">
      <c r="AB61" t="s">
        <v>114</v>
      </c>
      <c r="AC61" s="38">
        <v>0.48571428571428571</v>
      </c>
    </row>
    <row r="62" spans="28:29" x14ac:dyDescent="0.25">
      <c r="AB62" t="s">
        <v>218</v>
      </c>
      <c r="AC62" s="38">
        <v>0.4</v>
      </c>
    </row>
    <row r="63" spans="28:29" x14ac:dyDescent="0.25">
      <c r="AB63" t="s">
        <v>192</v>
      </c>
      <c r="AC63" s="38">
        <v>1</v>
      </c>
    </row>
    <row r="64" spans="28:29" x14ac:dyDescent="0.25">
      <c r="AB64" t="s">
        <v>86</v>
      </c>
      <c r="AC64" s="38">
        <v>0.34</v>
      </c>
    </row>
    <row r="65" spans="28:29" x14ac:dyDescent="0.25">
      <c r="AB65" t="s">
        <v>166</v>
      </c>
      <c r="AC65" s="38">
        <v>0.67500000000000004</v>
      </c>
    </row>
    <row r="66" spans="28:29" x14ac:dyDescent="0.25">
      <c r="AB66" t="s">
        <v>88</v>
      </c>
      <c r="AC66" s="38">
        <v>0.34</v>
      </c>
    </row>
    <row r="67" spans="28:29" x14ac:dyDescent="0.25">
      <c r="AB67" t="s">
        <v>59</v>
      </c>
      <c r="AC67" s="38">
        <v>0.48888888888888887</v>
      </c>
    </row>
    <row r="68" spans="28:29" x14ac:dyDescent="0.25">
      <c r="AB68" t="s">
        <v>134</v>
      </c>
      <c r="AC68" s="38">
        <v>0.4</v>
      </c>
    </row>
    <row r="69" spans="28:29" x14ac:dyDescent="0.25">
      <c r="AB69" t="s">
        <v>186</v>
      </c>
      <c r="AC69" s="38">
        <v>0.8</v>
      </c>
    </row>
    <row r="70" spans="28:29" x14ac:dyDescent="0.25">
      <c r="AB70" t="s">
        <v>152</v>
      </c>
      <c r="AC70" s="38">
        <v>0.8</v>
      </c>
    </row>
    <row r="71" spans="28:29" x14ac:dyDescent="0.25">
      <c r="AB71" t="s">
        <v>176</v>
      </c>
      <c r="AC71" s="38">
        <v>0.57777777777777772</v>
      </c>
    </row>
    <row r="72" spans="28:29" x14ac:dyDescent="0.25">
      <c r="AB72" t="s">
        <v>75</v>
      </c>
      <c r="AC72" s="38">
        <v>0.8</v>
      </c>
    </row>
    <row r="73" spans="28:29" x14ac:dyDescent="0.25">
      <c r="AB73" t="s">
        <v>61</v>
      </c>
      <c r="AC73" s="38">
        <v>1.1428571428571428</v>
      </c>
    </row>
    <row r="74" spans="28:29" x14ac:dyDescent="0.25">
      <c r="AB74" t="s">
        <v>90</v>
      </c>
      <c r="AC74" s="38">
        <v>0.76666666666666672</v>
      </c>
    </row>
    <row r="75" spans="28:29" x14ac:dyDescent="0.25">
      <c r="AB75" t="s">
        <v>206</v>
      </c>
      <c r="AC75" s="38">
        <v>0.45</v>
      </c>
    </row>
    <row r="76" spans="28:29" x14ac:dyDescent="0.25">
      <c r="AB76" t="s">
        <v>194</v>
      </c>
      <c r="AC76" s="38">
        <v>0.57999999999999996</v>
      </c>
    </row>
    <row r="77" spans="28:29" x14ac:dyDescent="0.25">
      <c r="AB77" t="s">
        <v>220</v>
      </c>
      <c r="AC77" s="38">
        <v>0.24</v>
      </c>
    </row>
    <row r="78" spans="28:29" x14ac:dyDescent="0.25">
      <c r="AB78" t="s">
        <v>136</v>
      </c>
      <c r="AC78" s="38">
        <v>1.0857142857142856</v>
      </c>
    </row>
    <row r="79" spans="28:29" x14ac:dyDescent="0.25">
      <c r="AB79" t="s">
        <v>92</v>
      </c>
      <c r="AC79" s="38">
        <v>0.54285714285714282</v>
      </c>
    </row>
    <row r="80" spans="28:29" x14ac:dyDescent="0.25">
      <c r="AB80" t="s">
        <v>77</v>
      </c>
      <c r="AC80" s="38">
        <v>0.82857142857142863</v>
      </c>
    </row>
    <row r="81" spans="28:29" x14ac:dyDescent="0.25">
      <c r="AB81" t="s">
        <v>210</v>
      </c>
      <c r="AC81" s="38">
        <v>0.6</v>
      </c>
    </row>
    <row r="82" spans="28:29" x14ac:dyDescent="0.25">
      <c r="AB82" t="s">
        <v>196</v>
      </c>
      <c r="AC82" s="38">
        <v>0.57499999999999996</v>
      </c>
    </row>
    <row r="83" spans="28:29" x14ac:dyDescent="0.25">
      <c r="AB83" t="s">
        <v>138</v>
      </c>
      <c r="AC83" s="38">
        <v>1.1200000000000001</v>
      </c>
    </row>
    <row r="84" spans="28:29" x14ac:dyDescent="0.25">
      <c r="AB84" t="s">
        <v>168</v>
      </c>
      <c r="AC84" s="38">
        <v>0.6</v>
      </c>
    </row>
    <row r="85" spans="28:29" x14ac:dyDescent="0.25">
      <c r="AB85" t="s">
        <v>154</v>
      </c>
      <c r="AC85" s="38">
        <v>0.8</v>
      </c>
    </row>
    <row r="86" spans="28:29" x14ac:dyDescent="0.25">
      <c r="AB86" t="s">
        <v>156</v>
      </c>
      <c r="AC86" s="38">
        <v>0.7142857142857143</v>
      </c>
    </row>
    <row r="87" spans="28:29" x14ac:dyDescent="0.25">
      <c r="AB87" t="s">
        <v>94</v>
      </c>
      <c r="AC87" s="38">
        <v>0.23333333333333334</v>
      </c>
    </row>
    <row r="88" spans="28:29" x14ac:dyDescent="0.25">
      <c r="AB88" t="s">
        <v>140</v>
      </c>
      <c r="AC88" s="38">
        <v>1.04</v>
      </c>
    </row>
    <row r="89" spans="28:29" x14ac:dyDescent="0.25">
      <c r="AB89" t="s">
        <v>228</v>
      </c>
      <c r="AC89" s="38">
        <v>0.26666666666666666</v>
      </c>
    </row>
    <row r="90" spans="28:29" x14ac:dyDescent="0.25">
      <c r="AB90" t="s">
        <v>204</v>
      </c>
      <c r="AC90" s="38">
        <v>0.51428571428571423</v>
      </c>
    </row>
    <row r="91" spans="28:29" x14ac:dyDescent="0.25">
      <c r="AB91" t="s">
        <v>116</v>
      </c>
      <c r="AC91" s="38">
        <v>1.0888888888888888</v>
      </c>
    </row>
    <row r="92" spans="28:29" x14ac:dyDescent="0.25">
      <c r="AB92" t="s">
        <v>63</v>
      </c>
      <c r="AC92" s="38">
        <v>0.6</v>
      </c>
    </row>
    <row r="93" spans="28:29" x14ac:dyDescent="0.25">
      <c r="AB93" t="s">
        <v>198</v>
      </c>
      <c r="AC93" s="38">
        <v>0.34</v>
      </c>
    </row>
    <row r="94" spans="28:29" x14ac:dyDescent="0.25">
      <c r="AB94" t="s">
        <v>178</v>
      </c>
      <c r="AC94" s="38">
        <v>0.44</v>
      </c>
    </row>
    <row r="95" spans="28:29" x14ac:dyDescent="0.25">
      <c r="AB95" t="s">
        <v>170</v>
      </c>
      <c r="AC95" s="38">
        <v>0.42</v>
      </c>
    </row>
    <row r="96" spans="28:29" x14ac:dyDescent="0.25">
      <c r="AB96" t="s">
        <v>202</v>
      </c>
      <c r="AC96" s="38">
        <v>1.05</v>
      </c>
    </row>
    <row r="97" spans="28:29" x14ac:dyDescent="0.25">
      <c r="AB97" t="s">
        <v>180</v>
      </c>
      <c r="AC97" s="38">
        <v>0.52500000000000002</v>
      </c>
    </row>
    <row r="98" spans="28:29" x14ac:dyDescent="0.25">
      <c r="AB98" t="s">
        <v>142</v>
      </c>
      <c r="AC98" s="38">
        <v>0.66666666666666663</v>
      </c>
    </row>
    <row r="99" spans="28:29" x14ac:dyDescent="0.25">
      <c r="AB99" t="s">
        <v>250</v>
      </c>
      <c r="AC99" s="38">
        <v>63.914285714285725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C040D-5805-4941-83E6-04D2B653EE46}">
  <sheetPr codeName="MasterData">
    <tabColor rgb="FF002060"/>
  </sheetPr>
  <dimension ref="A1:AC97"/>
  <sheetViews>
    <sheetView topLeftCell="R1" zoomScale="130" zoomScaleNormal="130" workbookViewId="0">
      <selection activeCell="AC2" sqref="AC2"/>
    </sheetView>
  </sheetViews>
  <sheetFormatPr defaultRowHeight="15" x14ac:dyDescent="0.25"/>
  <cols>
    <col min="1" max="1" width="15.42578125" customWidth="1"/>
    <col min="2" max="2" width="18.42578125" customWidth="1"/>
    <col min="3" max="3" width="16.7109375" customWidth="1"/>
    <col min="4" max="4" width="14.140625" customWidth="1"/>
    <col min="5" max="5" width="2.7109375" customWidth="1"/>
    <col min="7" max="7" width="9.7109375" customWidth="1"/>
    <col min="8" max="8" width="8.42578125" customWidth="1"/>
    <col min="9" max="9" width="14.28515625" customWidth="1"/>
    <col min="10" max="10" width="23" customWidth="1"/>
    <col min="11" max="11" width="4.85546875" customWidth="1"/>
    <col min="12" max="12" width="19.7109375" customWidth="1"/>
    <col min="13" max="13" width="8.42578125" customWidth="1"/>
    <col min="14" max="14" width="14.5703125" bestFit="1" customWidth="1"/>
    <col min="15" max="15" width="23" customWidth="1"/>
    <col min="17" max="17" width="5.28515625" customWidth="1"/>
    <col min="18" max="18" width="19.140625" customWidth="1"/>
    <col min="19" max="19" width="8.42578125" customWidth="1"/>
    <col min="20" max="20" width="18.140625" customWidth="1"/>
    <col min="21" max="21" width="12.7109375" customWidth="1"/>
    <col min="22" max="22" width="14.5703125" bestFit="1" customWidth="1"/>
    <col min="23" max="23" width="22.42578125" customWidth="1"/>
    <col min="24" max="24" width="15" customWidth="1"/>
    <col min="27" max="27" width="14.5703125" bestFit="1" customWidth="1"/>
  </cols>
  <sheetData>
    <row r="1" spans="1:29" x14ac:dyDescent="0.25">
      <c r="A1" s="13" t="s">
        <v>25</v>
      </c>
      <c r="B1" s="12" t="s">
        <v>26</v>
      </c>
      <c r="C1" s="13" t="s">
        <v>27</v>
      </c>
      <c r="D1" s="13" t="s">
        <v>229</v>
      </c>
      <c r="F1" s="37">
        <v>1</v>
      </c>
      <c r="G1" t="s">
        <v>3</v>
      </c>
      <c r="H1" t="s">
        <v>230</v>
      </c>
      <c r="I1" t="s">
        <v>4</v>
      </c>
      <c r="J1" t="s">
        <v>231</v>
      </c>
      <c r="L1" t="s">
        <v>2</v>
      </c>
      <c r="M1" t="s">
        <v>230</v>
      </c>
      <c r="N1" t="s">
        <v>4</v>
      </c>
      <c r="O1" t="s">
        <v>231</v>
      </c>
      <c r="Q1" s="37">
        <v>2</v>
      </c>
      <c r="R1" t="s">
        <v>27</v>
      </c>
      <c r="S1" t="s">
        <v>230</v>
      </c>
      <c r="T1" t="s">
        <v>232</v>
      </c>
      <c r="U1" t="s">
        <v>229</v>
      </c>
      <c r="V1" t="s">
        <v>4</v>
      </c>
      <c r="W1" t="s">
        <v>233</v>
      </c>
      <c r="X1" t="s">
        <v>234</v>
      </c>
      <c r="Z1" t="s">
        <v>235</v>
      </c>
      <c r="AA1" t="s">
        <v>4</v>
      </c>
      <c r="AC1">
        <f>GETPIVOTDATA("[Measures].[Count of Employee ID 2]",Pivots!$Y$1)</f>
        <v>96</v>
      </c>
    </row>
    <row r="2" spans="1:29" x14ac:dyDescent="0.25">
      <c r="A2" s="18" t="s">
        <v>28</v>
      </c>
      <c r="B2" s="18" t="s">
        <v>29</v>
      </c>
      <c r="C2" s="18" t="s">
        <v>30</v>
      </c>
      <c r="D2" s="18">
        <v>35</v>
      </c>
      <c r="G2" t="s">
        <v>12</v>
      </c>
      <c r="H2">
        <f>IF($F$1=1,tbl_Trainer[[#This Row],[Training Hrs.]],tbl_Trainer[[#This Row],[Unique Trainee Count]])</f>
        <v>22</v>
      </c>
      <c r="I2">
        <f>GETPIVOTDATA("[Measures].[Sum of Training Hrs.]",Pivots!$K$1,"[tbl_TrainingRecords].[Trainer]","[tbl_TrainingRecords].[Trainer].&amp;["&amp; tbl_Trainer[[#This Row],[Trainer]]&amp;"]")</f>
        <v>22</v>
      </c>
      <c r="J2">
        <f>GETPIVOTDATA("[Measures].[Count of Employee ID]",Pivots!$K$1,"[tbl_TrainingRecords].[Trainer]","[tbl_TrainingRecords].[Trainer].&amp;["&amp; tbl_Trainer[[#This Row],[Trainer]]&amp;"]")</f>
        <v>56</v>
      </c>
      <c r="L2" t="s">
        <v>13</v>
      </c>
      <c r="M2">
        <f>IF($F$1=1,tbl_TrainingList[[#This Row],[Training Hrs.]],tbl_TrainingList[[#This Row],[Unique Trainee Count]])</f>
        <v>30</v>
      </c>
      <c r="N2">
        <f>GETPIVOTDATA("[Measures].[Sum of Training Hrs.]",Pivots!$O$1,"[tbl_TrainingRecords].[Training Topic]","[tbl_TrainingRecords].[Training Topic].&amp;["&amp; tbl_TrainingList[[#This Row],[Training Topic]]&amp;"]")</f>
        <v>30</v>
      </c>
      <c r="O2">
        <f>GETPIVOTDATA("[Measures].[Count of Employee ID]",Pivots!$O$1,"[tbl_TrainingRecords].[Training Topic]","[tbl_TrainingRecords].[Training Topic].&amp;["&amp; tbl_TrainingList[[#This Row],[Training Topic]]&amp;"]")</f>
        <v>75</v>
      </c>
      <c r="R2" t="s">
        <v>80</v>
      </c>
      <c r="S2">
        <f>IF($Q$1=1,tbl_Department[[#This Row],[Training Hrs.]],tbl_Department[[#This Row],[Avg Training Hrs/Emp]])</f>
        <v>5.125</v>
      </c>
      <c r="T2">
        <f>COUNTIF(tbl_TraineeRecords[Department],tbl_Department[[#This Row],[Department]])</f>
        <v>56</v>
      </c>
      <c r="U2">
        <f>SUMIF(tbl_EmpDatabase[Department],tbl_Department[[#This Row],[Department]],tbl_EmpDatabase[Target Hrs.])</f>
        <v>525</v>
      </c>
      <c r="V2">
        <f>GETPIVOTDATA("[Measures].[Sum of Training Hrs. 2]",Pivots!$V$1,"[tbl_TraineeRecords].[Department]","[tbl_TraineeRecords].[Department].&amp;["&amp; tbl_Department[[#This Row],[Department]]&amp;"]")</f>
        <v>287</v>
      </c>
      <c r="W2" s="20">
        <f>tbl_Department[[#This Row],[Training Hrs.]]/tbl_Department[[#This Row],[No. of Employee]]</f>
        <v>5.125</v>
      </c>
      <c r="X2" s="21">
        <f>tbl_Department[[#This Row],[Training Hrs.]]/tbl_Department[[#This Row],[Target Hrs.]]</f>
        <v>0.54666666666666663</v>
      </c>
      <c r="Z2" t="s">
        <v>236</v>
      </c>
      <c r="AA2">
        <f>GETPIVOTDATA("[Measures].[Sum of Training Hrs. 2]",Pivots!$S$1,"[tbl_TraineeRecords].[Date (Month)]","[tbl_TraineeRecords].[Date (Month)].&amp;["&amp; tbl_Monthly[[#This Row],[Month]]&amp;"]")</f>
        <v>163</v>
      </c>
    </row>
    <row r="3" spans="1:29" x14ac:dyDescent="0.25">
      <c r="A3" s="18" t="s">
        <v>95</v>
      </c>
      <c r="B3" s="18" t="s">
        <v>96</v>
      </c>
      <c r="C3" s="18" t="s">
        <v>97</v>
      </c>
      <c r="D3" s="18">
        <v>45</v>
      </c>
      <c r="G3" t="s">
        <v>10</v>
      </c>
      <c r="H3">
        <f>IF($F$1=1,tbl_Trainer[[#This Row],[Training Hrs.]],tbl_Trainer[[#This Row],[Unique Trainee Count]])</f>
        <v>15</v>
      </c>
      <c r="I3">
        <f>GETPIVOTDATA("[Measures].[Sum of Training Hrs.]",Pivots!$K$1,"[tbl_TrainingRecords].[Trainer]","[tbl_TrainingRecords].[Trainer].&amp;["&amp; tbl_Trainer[[#This Row],[Trainer]]&amp;"]")</f>
        <v>15</v>
      </c>
      <c r="J3">
        <f>GETPIVOTDATA("[Measures].[Count of Employee ID]",Pivots!$K$1,"[tbl_TrainingRecords].[Trainer]","[tbl_TrainingRecords].[Trainer].&amp;["&amp; tbl_Trainer[[#This Row],[Trainer]]&amp;"]")</f>
        <v>31</v>
      </c>
      <c r="L3" t="s">
        <v>11</v>
      </c>
      <c r="M3">
        <f>IF($F$1=1,tbl_TrainingList[[#This Row],[Training Hrs.]],tbl_TrainingList[[#This Row],[Unique Trainee Count]])</f>
        <v>22</v>
      </c>
      <c r="N3">
        <f>GETPIVOTDATA("[Measures].[Sum of Training Hrs.]",Pivots!$O$1,"[tbl_TrainingRecords].[Training Topic]","[tbl_TrainingRecords].[Training Topic].&amp;["&amp; tbl_TrainingList[[#This Row],[Training Topic]]&amp;"]")</f>
        <v>22</v>
      </c>
      <c r="O3">
        <f>GETPIVOTDATA("[Measures].[Count of Employee ID]",Pivots!$O$1,"[tbl_TrainingRecords].[Training Topic]","[tbl_TrainingRecords].[Training Topic].&amp;["&amp; tbl_TrainingList[[#This Row],[Training Topic]]&amp;"]")</f>
        <v>56</v>
      </c>
      <c r="R3" t="s">
        <v>122</v>
      </c>
      <c r="S3">
        <f>IF($Q$1=1,tbl_Department[[#This Row],[Training Hrs.]],tbl_Department[[#This Row],[Avg Training Hrs/Emp]])</f>
        <v>4.9285714285714288</v>
      </c>
      <c r="T3">
        <f>COUNTIF(tbl_TraineeRecords[Department],tbl_Department[[#This Row],[Department]])</f>
        <v>28</v>
      </c>
      <c r="U3">
        <f>SUMIF(tbl_EmpDatabase[Department],tbl_Department[[#This Row],[Department]],tbl_EmpDatabase[Target Hrs.])</f>
        <v>270</v>
      </c>
      <c r="V3">
        <f>GETPIVOTDATA("[Measures].[Sum of Training Hrs. 2]",Pivots!$V$1,"[tbl_TraineeRecords].[Department]","[tbl_TraineeRecords].[Department].&amp;["&amp; tbl_Department[[#This Row],[Department]]&amp;"]")</f>
        <v>138</v>
      </c>
      <c r="W3" s="20">
        <f>tbl_Department[[#This Row],[Training Hrs.]]/tbl_Department[[#This Row],[No. of Employee]]</f>
        <v>4.9285714285714288</v>
      </c>
      <c r="X3" s="21">
        <f>tbl_Department[[#This Row],[Training Hrs.]]/tbl_Department[[#This Row],[Target Hrs.]]</f>
        <v>0.51111111111111107</v>
      </c>
      <c r="Z3" t="s">
        <v>237</v>
      </c>
      <c r="AA3">
        <f>GETPIVOTDATA("[Measures].[Sum of Training Hrs. 2]",Pivots!$S$1,"[tbl_TraineeRecords].[Date (Month)]","[tbl_TraineeRecords].[Date (Month)].&amp;["&amp; tbl_Monthly[[#This Row],[Month]]&amp;"]")</f>
        <v>195</v>
      </c>
    </row>
    <row r="4" spans="1:29" x14ac:dyDescent="0.25">
      <c r="A4" s="18" t="s">
        <v>211</v>
      </c>
      <c r="B4" s="18" t="s">
        <v>212</v>
      </c>
      <c r="C4" s="18" t="s">
        <v>30</v>
      </c>
      <c r="D4" s="18">
        <v>40</v>
      </c>
      <c r="G4" t="s">
        <v>14</v>
      </c>
      <c r="H4">
        <f>IF($F$1=1,tbl_Trainer[[#This Row],[Training Hrs.]],tbl_Trainer[[#This Row],[Unique Trainee Count]])</f>
        <v>33</v>
      </c>
      <c r="I4">
        <f>GETPIVOTDATA("[Measures].[Sum of Training Hrs.]",Pivots!$K$1,"[tbl_TrainingRecords].[Trainer]","[tbl_TrainingRecords].[Trainer].&amp;["&amp; tbl_Trainer[[#This Row],[Trainer]]&amp;"]")</f>
        <v>33</v>
      </c>
      <c r="J4">
        <f>GETPIVOTDATA("[Measures].[Count of Employee ID]",Pivots!$K$1,"[tbl_TrainingRecords].[Trainer]","[tbl_TrainingRecords].[Trainer].&amp;["&amp; tbl_Trainer[[#This Row],[Trainer]]&amp;"]")</f>
        <v>80</v>
      </c>
      <c r="L4" t="s">
        <v>20</v>
      </c>
      <c r="M4">
        <f>IF($F$1=1,tbl_TrainingList[[#This Row],[Training Hrs.]],tbl_TrainingList[[#This Row],[Unique Trainee Count]])</f>
        <v>15</v>
      </c>
      <c r="N4">
        <f>GETPIVOTDATA("[Measures].[Sum of Training Hrs.]",Pivots!$O$1,"[tbl_TrainingRecords].[Training Topic]","[tbl_TrainingRecords].[Training Topic].&amp;["&amp; tbl_TrainingList[[#This Row],[Training Topic]]&amp;"]")</f>
        <v>15</v>
      </c>
      <c r="O4">
        <f>GETPIVOTDATA("[Measures].[Count of Employee ID]",Pivots!$O$1,"[tbl_TrainingRecords].[Training Topic]","[tbl_TrainingRecords].[Training Topic].&amp;["&amp; tbl_TrainingList[[#This Row],[Training Topic]]&amp;"]")</f>
        <v>43</v>
      </c>
      <c r="R4" t="s">
        <v>97</v>
      </c>
      <c r="S4">
        <f>IF($Q$1=1,tbl_Department[[#This Row],[Training Hrs.]],tbl_Department[[#This Row],[Avg Training Hrs/Emp]])</f>
        <v>4.875</v>
      </c>
      <c r="T4">
        <f>COUNTIF(tbl_TraineeRecords[Department],tbl_Department[[#This Row],[Department]])</f>
        <v>24</v>
      </c>
      <c r="U4">
        <f>SUMIF(tbl_EmpDatabase[Department],tbl_Department[[#This Row],[Department]],tbl_EmpDatabase[Target Hrs.])</f>
        <v>190</v>
      </c>
      <c r="V4">
        <f>GETPIVOTDATA("[Measures].[Sum of Training Hrs. 2]",Pivots!$V$1,"[tbl_TraineeRecords].[Department]","[tbl_TraineeRecords].[Department].&amp;["&amp; tbl_Department[[#This Row],[Department]]&amp;"]")</f>
        <v>117</v>
      </c>
      <c r="W4" s="20">
        <f>tbl_Department[[#This Row],[Training Hrs.]]/tbl_Department[[#This Row],[No. of Employee]]</f>
        <v>4.875</v>
      </c>
      <c r="X4" s="21">
        <f>tbl_Department[[#This Row],[Training Hrs.]]/tbl_Department[[#This Row],[Target Hrs.]]</f>
        <v>0.61578947368421055</v>
      </c>
      <c r="Z4" t="s">
        <v>238</v>
      </c>
      <c r="AA4">
        <f>GETPIVOTDATA("[Measures].[Sum of Training Hrs. 2]",Pivots!$S$1,"[tbl_TraineeRecords].[Date (Month)]","[tbl_TraineeRecords].[Date (Month)].&amp;["&amp; tbl_Monthly[[#This Row],[Month]]&amp;"]")</f>
        <v>147</v>
      </c>
    </row>
    <row r="5" spans="1:29" x14ac:dyDescent="0.25">
      <c r="A5" s="18" t="s">
        <v>31</v>
      </c>
      <c r="B5" s="18" t="s">
        <v>32</v>
      </c>
      <c r="C5" s="18" t="s">
        <v>33</v>
      </c>
      <c r="D5" s="18">
        <v>40</v>
      </c>
      <c r="G5" t="s">
        <v>6</v>
      </c>
      <c r="H5">
        <f>IF($F$1=1,tbl_Trainer[[#This Row],[Training Hrs.]],tbl_Trainer[[#This Row],[Unique Trainee Count]])</f>
        <v>38</v>
      </c>
      <c r="I5">
        <f>GETPIVOTDATA("[Measures].[Sum of Training Hrs.]",Pivots!$K$1,"[tbl_TrainingRecords].[Trainer]","[tbl_TrainingRecords].[Trainer].&amp;["&amp; tbl_Trainer[[#This Row],[Trainer]]&amp;"]")</f>
        <v>38</v>
      </c>
      <c r="J5">
        <f>GETPIVOTDATA("[Measures].[Count of Employee ID]",Pivots!$K$1,"[tbl_TrainingRecords].[Trainer]","[tbl_TrainingRecords].[Trainer].&amp;["&amp; tbl_Trainer[[#This Row],[Trainer]]&amp;"]")</f>
        <v>38</v>
      </c>
      <c r="L5" t="s">
        <v>17</v>
      </c>
      <c r="M5">
        <f>IF($F$1=1,tbl_TrainingList[[#This Row],[Training Hrs.]],tbl_TrainingList[[#This Row],[Unique Trainee Count]])</f>
        <v>15</v>
      </c>
      <c r="N5">
        <f>GETPIVOTDATA("[Measures].[Sum of Training Hrs.]",Pivots!$O$1,"[tbl_TrainingRecords].[Training Topic]","[tbl_TrainingRecords].[Training Topic].&amp;["&amp; tbl_TrainingList[[#This Row],[Training Topic]]&amp;"]")</f>
        <v>15</v>
      </c>
      <c r="O5">
        <f>GETPIVOTDATA("[Measures].[Count of Employee ID]",Pivots!$O$1,"[tbl_TrainingRecords].[Training Topic]","[tbl_TrainingRecords].[Training Topic].&amp;["&amp; tbl_TrainingList[[#This Row],[Training Topic]]&amp;"]")</f>
        <v>31</v>
      </c>
      <c r="R5" t="s">
        <v>119</v>
      </c>
      <c r="S5">
        <f>IF($Q$1=1,tbl_Department[[#This Row],[Training Hrs.]],tbl_Department[[#This Row],[Avg Training Hrs/Emp]])</f>
        <v>5.333333333333333</v>
      </c>
      <c r="T5">
        <f>COUNTIF(tbl_TraineeRecords[Department],tbl_Department[[#This Row],[Department]])</f>
        <v>15</v>
      </c>
      <c r="U5">
        <f>SUMIF(tbl_EmpDatabase[Department],tbl_Department[[#This Row],[Department]],tbl_EmpDatabase[Target Hrs.])</f>
        <v>90</v>
      </c>
      <c r="V5">
        <f>GETPIVOTDATA("[Measures].[Sum of Training Hrs. 2]",Pivots!$V$1,"[tbl_TraineeRecords].[Department]","[tbl_TraineeRecords].[Department].&amp;["&amp; tbl_Department[[#This Row],[Department]]&amp;"]")</f>
        <v>80</v>
      </c>
      <c r="W5" s="20">
        <f>tbl_Department[[#This Row],[Training Hrs.]]/tbl_Department[[#This Row],[No. of Employee]]</f>
        <v>5.333333333333333</v>
      </c>
      <c r="X5" s="21">
        <f>tbl_Department[[#This Row],[Training Hrs.]]/tbl_Department[[#This Row],[Target Hrs.]]</f>
        <v>0.88888888888888884</v>
      </c>
      <c r="Z5" t="s">
        <v>239</v>
      </c>
      <c r="AA5">
        <f>GETPIVOTDATA("[Measures].[Sum of Training Hrs. 2]",Pivots!$S$1,"[tbl_TraineeRecords].[Date (Month)]","[tbl_TraineeRecords].[Date (Month)].&amp;["&amp; tbl_Monthly[[#This Row],[Month]]&amp;"]")</f>
        <v>222</v>
      </c>
    </row>
    <row r="6" spans="1:29" x14ac:dyDescent="0.25">
      <c r="A6" s="18" t="s">
        <v>117</v>
      </c>
      <c r="B6" s="18" t="s">
        <v>118</v>
      </c>
      <c r="C6" s="18" t="s">
        <v>119</v>
      </c>
      <c r="D6" s="18">
        <v>35</v>
      </c>
      <c r="G6" t="s">
        <v>21</v>
      </c>
      <c r="H6">
        <f>IF($F$1=1,tbl_Trainer[[#This Row],[Training Hrs.]],tbl_Trainer[[#This Row],[Unique Trainee Count]])</f>
        <v>12</v>
      </c>
      <c r="I6">
        <f>GETPIVOTDATA("[Measures].[Sum of Training Hrs.]",Pivots!$K$1,"[tbl_TrainingRecords].[Trainer]","[tbl_TrainingRecords].[Trainer].&amp;["&amp; tbl_Trainer[[#This Row],[Trainer]]&amp;"]")</f>
        <v>12</v>
      </c>
      <c r="J6">
        <f>GETPIVOTDATA("[Measures].[Count of Employee ID]",Pivots!$K$1,"[tbl_TrainingRecords].[Trainer]","[tbl_TrainingRecords].[Trainer].&amp;["&amp; tbl_Trainer[[#This Row],[Trainer]]&amp;"]")</f>
        <v>38</v>
      </c>
      <c r="L6" t="s">
        <v>9</v>
      </c>
      <c r="M6">
        <f>IF($F$1=1,tbl_TrainingList[[#This Row],[Training Hrs.]],tbl_TrainingList[[#This Row],[Unique Trainee Count]])</f>
        <v>15</v>
      </c>
      <c r="N6">
        <f>GETPIVOTDATA("[Measures].[Sum of Training Hrs.]",Pivots!$O$1,"[tbl_TrainingRecords].[Training Topic]","[tbl_TrainingRecords].[Training Topic].&amp;["&amp; tbl_TrainingList[[#This Row],[Training Topic]]&amp;"]")</f>
        <v>15</v>
      </c>
      <c r="O6">
        <f>GETPIVOTDATA("[Measures].[Count of Employee ID]",Pivots!$O$1,"[tbl_TrainingRecords].[Training Topic]","[tbl_TrainingRecords].[Training Topic].&amp;["&amp; tbl_TrainingList[[#This Row],[Training Topic]]&amp;"]")</f>
        <v>31</v>
      </c>
      <c r="R6" t="s">
        <v>30</v>
      </c>
      <c r="S6">
        <f>IF($Q$1=1,tbl_Department[[#This Row],[Training Hrs.]],tbl_Department[[#This Row],[Avg Training Hrs/Emp]])</f>
        <v>6.0283018867924527</v>
      </c>
      <c r="T6">
        <f>COUNTIF(tbl_TraineeRecords[Department],tbl_Department[[#This Row],[Department]])</f>
        <v>106</v>
      </c>
      <c r="U6">
        <f>SUMIF(tbl_EmpDatabase[Department],tbl_Department[[#This Row],[Department]],tbl_EmpDatabase[Target Hrs.])</f>
        <v>1165</v>
      </c>
      <c r="V6">
        <f>GETPIVOTDATA("[Measures].[Sum of Training Hrs. 2]",Pivots!$V$1,"[tbl_TraineeRecords].[Department]","[tbl_TraineeRecords].[Department].&amp;["&amp; tbl_Department[[#This Row],[Department]]&amp;"]")</f>
        <v>639</v>
      </c>
      <c r="W6" s="20">
        <f>tbl_Department[[#This Row],[Training Hrs.]]/tbl_Department[[#This Row],[No. of Employee]]</f>
        <v>6.0283018867924527</v>
      </c>
      <c r="X6" s="21">
        <f>tbl_Department[[#This Row],[Training Hrs.]]/tbl_Department[[#This Row],[Target Hrs.]]</f>
        <v>0.54849785407725327</v>
      </c>
      <c r="Z6" t="s">
        <v>240</v>
      </c>
      <c r="AA6">
        <f>GETPIVOTDATA("[Measures].[Sum of Training Hrs. 2]",Pivots!$S$1,"[tbl_TraineeRecords].[Date (Month)]","[tbl_TraineeRecords].[Date (Month)].&amp;["&amp; tbl_Monthly[[#This Row],[Month]]&amp;"]")</f>
        <v>253</v>
      </c>
    </row>
    <row r="7" spans="1:29" x14ac:dyDescent="0.25">
      <c r="A7" s="18" t="s">
        <v>120</v>
      </c>
      <c r="B7" s="18" t="s">
        <v>121</v>
      </c>
      <c r="C7" s="18" t="s">
        <v>122</v>
      </c>
      <c r="D7" s="18">
        <v>40</v>
      </c>
      <c r="G7" t="s">
        <v>18</v>
      </c>
      <c r="H7">
        <f>IF($F$1=1,tbl_Trainer[[#This Row],[Training Hrs.]],tbl_Trainer[[#This Row],[Unique Trainee Count]])</f>
        <v>24</v>
      </c>
      <c r="I7">
        <f>GETPIVOTDATA("[Measures].[Sum of Training Hrs.]",Pivots!$K$1,"[tbl_TrainingRecords].[Trainer]","[tbl_TrainingRecords].[Trainer].&amp;["&amp; tbl_Trainer[[#This Row],[Trainer]]&amp;"]")</f>
        <v>24</v>
      </c>
      <c r="J7">
        <f>GETPIVOTDATA("[Measures].[Count of Employee ID]",Pivots!$K$1,"[tbl_TrainingRecords].[Trainer]","[tbl_TrainingRecords].[Trainer].&amp;["&amp; tbl_Trainer[[#This Row],[Trainer]]&amp;"]")</f>
        <v>71</v>
      </c>
      <c r="L7" t="s">
        <v>7</v>
      </c>
      <c r="M7">
        <f>IF($F$1=1,tbl_TrainingList[[#This Row],[Training Hrs.]],tbl_TrainingList[[#This Row],[Unique Trainee Count]])</f>
        <v>14</v>
      </c>
      <c r="N7">
        <f>GETPIVOTDATA("[Measures].[Sum of Training Hrs.]",Pivots!$O$1,"[tbl_TrainingRecords].[Training Topic]","[tbl_TrainingRecords].[Training Topic].&amp;["&amp; tbl_TrainingList[[#This Row],[Training Topic]]&amp;"]")</f>
        <v>14</v>
      </c>
      <c r="O7">
        <f>GETPIVOTDATA("[Measures].[Count of Employee ID]",Pivots!$O$1,"[tbl_TrainingRecords].[Training Topic]","[tbl_TrainingRecords].[Training Topic].&amp;["&amp; tbl_TrainingList[[#This Row],[Training Topic]]&amp;"]")</f>
        <v>56</v>
      </c>
      <c r="R7" t="s">
        <v>43</v>
      </c>
      <c r="S7">
        <f>IF($Q$1=1,tbl_Department[[#This Row],[Training Hrs.]],tbl_Department[[#This Row],[Avg Training Hrs/Emp]])</f>
        <v>5.8787878787878789</v>
      </c>
      <c r="T7">
        <f>COUNTIF(tbl_TraineeRecords[Department],tbl_Department[[#This Row],[Department]])</f>
        <v>33</v>
      </c>
      <c r="U7">
        <f>SUMIF(tbl_EmpDatabase[Department],tbl_Department[[#This Row],[Department]],tbl_EmpDatabase[Target Hrs.])</f>
        <v>210</v>
      </c>
      <c r="V7">
        <f>GETPIVOTDATA("[Measures].[Sum of Training Hrs. 2]",Pivots!$V$1,"[tbl_TraineeRecords].[Department]","[tbl_TraineeRecords].[Department].&amp;["&amp; tbl_Department[[#This Row],[Department]]&amp;"]")</f>
        <v>194</v>
      </c>
      <c r="W7" s="20">
        <f>tbl_Department[[#This Row],[Training Hrs.]]/tbl_Department[[#This Row],[No. of Employee]]</f>
        <v>5.8787878787878789</v>
      </c>
      <c r="X7" s="21">
        <f>tbl_Department[[#This Row],[Training Hrs.]]/tbl_Department[[#This Row],[Target Hrs.]]</f>
        <v>0.92380952380952386</v>
      </c>
      <c r="Z7" t="s">
        <v>241</v>
      </c>
      <c r="AA7">
        <f>GETPIVOTDATA("[Measures].[Sum of Training Hrs. 2]",Pivots!$S$1,"[tbl_TraineeRecords].[Date (Month)]","[tbl_TraineeRecords].[Date (Month)].&amp;["&amp; tbl_Monthly[[#This Row],[Month]]&amp;"]")</f>
        <v>192</v>
      </c>
    </row>
    <row r="8" spans="1:29" x14ac:dyDescent="0.25">
      <c r="A8" s="18" t="s">
        <v>64</v>
      </c>
      <c r="B8" s="18" t="s">
        <v>65</v>
      </c>
      <c r="C8" s="18" t="s">
        <v>30</v>
      </c>
      <c r="D8" s="18">
        <v>50</v>
      </c>
      <c r="G8" t="s">
        <v>8</v>
      </c>
      <c r="H8">
        <f>IF($F$1=1,tbl_Trainer[[#This Row],[Training Hrs.]],tbl_Trainer[[#This Row],[Unique Trainee Count]])</f>
        <v>14</v>
      </c>
      <c r="I8">
        <f>GETPIVOTDATA("[Measures].[Sum of Training Hrs.]",Pivots!$K$1,"[tbl_TrainingRecords].[Trainer]","[tbl_TrainingRecords].[Trainer].&amp;["&amp; tbl_Trainer[[#This Row],[Trainer]]&amp;"]")</f>
        <v>14</v>
      </c>
      <c r="J8">
        <f>GETPIVOTDATA("[Measures].[Count of Employee ID]",Pivots!$K$1,"[tbl_TrainingRecords].[Trainer]","[tbl_TrainingRecords].[Trainer].&amp;["&amp; tbl_Trainer[[#This Row],[Trainer]]&amp;"]")</f>
        <v>56</v>
      </c>
      <c r="L8" t="s">
        <v>15</v>
      </c>
      <c r="M8">
        <f>IF($F$1=1,tbl_TrainingList[[#This Row],[Training Hrs.]],tbl_TrainingList[[#This Row],[Unique Trainee Count]])</f>
        <v>24</v>
      </c>
      <c r="N8">
        <f>GETPIVOTDATA("[Measures].[Sum of Training Hrs.]",Pivots!$O$1,"[tbl_TrainingRecords].[Training Topic]","[tbl_TrainingRecords].[Training Topic].&amp;["&amp; tbl_TrainingList[[#This Row],[Training Topic]]&amp;"]")</f>
        <v>24</v>
      </c>
      <c r="O8">
        <f>GETPIVOTDATA("[Measures].[Count of Employee ID]",Pivots!$O$1,"[tbl_TrainingRecords].[Training Topic]","[tbl_TrainingRecords].[Training Topic].&amp;["&amp; tbl_TrainingList[[#This Row],[Training Topic]]&amp;"]")</f>
        <v>57</v>
      </c>
      <c r="R8" t="s">
        <v>33</v>
      </c>
      <c r="S8">
        <f>IF($Q$1=1,tbl_Department[[#This Row],[Training Hrs.]],tbl_Department[[#This Row],[Avg Training Hrs/Emp]])</f>
        <v>5.9423076923076925</v>
      </c>
      <c r="T8">
        <f>COUNTIF(tbl_TraineeRecords[Department],tbl_Department[[#This Row],[Department]])</f>
        <v>52</v>
      </c>
      <c r="U8">
        <f>SUMIF(tbl_EmpDatabase[Department],tbl_Department[[#This Row],[Department]],tbl_EmpDatabase[Target Hrs.])</f>
        <v>335</v>
      </c>
      <c r="V8">
        <f>GETPIVOTDATA("[Measures].[Sum of Training Hrs. 2]",Pivots!$V$1,"[tbl_TraineeRecords].[Department]","[tbl_TraineeRecords].[Department].&amp;["&amp; tbl_Department[[#This Row],[Department]]&amp;"]")</f>
        <v>309</v>
      </c>
      <c r="W8" s="20">
        <f>tbl_Department[[#This Row],[Training Hrs.]]/tbl_Department[[#This Row],[No. of Employee]]</f>
        <v>5.9423076923076925</v>
      </c>
      <c r="X8" s="21">
        <f>tbl_Department[[#This Row],[Training Hrs.]]/tbl_Department[[#This Row],[Target Hrs.]]</f>
        <v>0.92238805970149251</v>
      </c>
      <c r="Z8" t="s">
        <v>242</v>
      </c>
      <c r="AA8">
        <f>GETPIVOTDATA("[Measures].[Sum of Training Hrs. 2]",Pivots!$S$1,"[tbl_TraineeRecords].[Date (Month)]","[tbl_TraineeRecords].[Date (Month)].&amp;["&amp; tbl_Monthly[[#This Row],[Month]]&amp;"]")</f>
        <v>288</v>
      </c>
    </row>
    <row r="9" spans="1:29" x14ac:dyDescent="0.25">
      <c r="A9" s="18" t="s">
        <v>98</v>
      </c>
      <c r="B9" s="18" t="s">
        <v>99</v>
      </c>
      <c r="C9" s="18" t="s">
        <v>30</v>
      </c>
      <c r="D9" s="18">
        <v>50</v>
      </c>
      <c r="G9" t="s">
        <v>16</v>
      </c>
      <c r="H9">
        <f>IF($F$1=1,tbl_Trainer[[#This Row],[Training Hrs.]],tbl_Trainer[[#This Row],[Unique Trainee Count]])</f>
        <v>31</v>
      </c>
      <c r="I9">
        <f>GETPIVOTDATA("[Measures].[Sum of Training Hrs.]",Pivots!$K$1,"[tbl_TrainingRecords].[Trainer]","[tbl_TrainingRecords].[Trainer].&amp;["&amp; tbl_Trainer[[#This Row],[Trainer]]&amp;"]")</f>
        <v>31</v>
      </c>
      <c r="J9">
        <f>GETPIVOTDATA("[Measures].[Count of Employee ID]",Pivots!$K$1,"[tbl_TrainingRecords].[Trainer]","[tbl_TrainingRecords].[Trainer].&amp;["&amp; tbl_Trainer[[#This Row],[Trainer]]&amp;"]")</f>
        <v>75</v>
      </c>
      <c r="L9" t="s">
        <v>23</v>
      </c>
      <c r="M9">
        <f>IF($F$1=1,tbl_TrainingList[[#This Row],[Training Hrs.]],tbl_TrainingList[[#This Row],[Unique Trainee Count]])</f>
        <v>32</v>
      </c>
      <c r="N9">
        <f>GETPIVOTDATA("[Measures].[Sum of Training Hrs.]",Pivots!$O$1,"[tbl_TrainingRecords].[Training Topic]","[tbl_TrainingRecords].[Training Topic].&amp;["&amp; tbl_TrainingList[[#This Row],[Training Topic]]&amp;"]")</f>
        <v>32</v>
      </c>
      <c r="O9">
        <f>GETPIVOTDATA("[Measures].[Count of Employee ID]",Pivots!$O$1,"[tbl_TrainingRecords].[Training Topic]","[tbl_TrainingRecords].[Training Topic].&amp;["&amp; tbl_TrainingList[[#This Row],[Training Topic]]&amp;"]")</f>
        <v>22</v>
      </c>
      <c r="R9" t="s">
        <v>102</v>
      </c>
      <c r="S9">
        <f>IF($Q$1=1,tbl_Department[[#This Row],[Training Hrs.]],tbl_Department[[#This Row],[Avg Training Hrs/Emp]])</f>
        <v>4.7586206896551726</v>
      </c>
      <c r="T9">
        <f>COUNTIF(tbl_TraineeRecords[Department],tbl_Department[[#This Row],[Department]])</f>
        <v>29</v>
      </c>
      <c r="U9">
        <f>SUMIF(tbl_EmpDatabase[Department],tbl_Department[[#This Row],[Department]],tbl_EmpDatabase[Target Hrs.])</f>
        <v>170</v>
      </c>
      <c r="V9">
        <f>GETPIVOTDATA("[Measures].[Sum of Training Hrs. 2]",Pivots!$V$1,"[tbl_TraineeRecords].[Department]","[tbl_TraineeRecords].[Department].&amp;["&amp; tbl_Department[[#This Row],[Department]]&amp;"]")</f>
        <v>138</v>
      </c>
      <c r="W9" s="20">
        <f>tbl_Department[[#This Row],[Training Hrs.]]/tbl_Department[[#This Row],[No. of Employee]]</f>
        <v>4.7586206896551726</v>
      </c>
      <c r="X9" s="21">
        <f>tbl_Department[[#This Row],[Training Hrs.]]/tbl_Department[[#This Row],[Target Hrs.]]</f>
        <v>0.81176470588235294</v>
      </c>
      <c r="Z9" t="s">
        <v>243</v>
      </c>
      <c r="AA9">
        <f>GETPIVOTDATA("[Measures].[Sum of Training Hrs. 2]",Pivots!$S$1,"[tbl_TraineeRecords].[Date (Month)]","[tbl_TraineeRecords].[Date (Month)].&amp;["&amp; tbl_Monthly[[#This Row],[Month]]&amp;"]")</f>
        <v>268</v>
      </c>
    </row>
    <row r="10" spans="1:29" x14ac:dyDescent="0.25">
      <c r="A10" s="18" t="s">
        <v>187</v>
      </c>
      <c r="B10" s="18" t="s">
        <v>188</v>
      </c>
      <c r="C10" s="18" t="s">
        <v>30</v>
      </c>
      <c r="D10" s="18">
        <v>45</v>
      </c>
      <c r="L10" t="s">
        <v>19</v>
      </c>
      <c r="M10">
        <f>IF($F$1=1,tbl_TrainingList[[#This Row],[Training Hrs.]],tbl_TrainingList[[#This Row],[Unique Trainee Count]])</f>
        <v>9</v>
      </c>
      <c r="N10">
        <f>GETPIVOTDATA("[Measures].[Sum of Training Hrs.]",Pivots!$O$1,"[tbl_TrainingRecords].[Training Topic]","[tbl_TrainingRecords].[Training Topic].&amp;["&amp; tbl_TrainingList[[#This Row],[Training Topic]]&amp;"]")</f>
        <v>9</v>
      </c>
      <c r="O10">
        <f>GETPIVOTDATA("[Measures].[Count of Employee ID]",Pivots!$O$1,"[tbl_TrainingRecords].[Training Topic]","[tbl_TrainingRecords].[Training Topic].&amp;["&amp; tbl_TrainingList[[#This Row],[Training Topic]]&amp;"]")</f>
        <v>40</v>
      </c>
      <c r="R10" t="s">
        <v>36</v>
      </c>
      <c r="S10">
        <f>IF($Q$1=1,tbl_Department[[#This Row],[Training Hrs.]],tbl_Department[[#This Row],[Avg Training Hrs/Emp]])</f>
        <v>4.666666666666667</v>
      </c>
      <c r="T10">
        <f>COUNTIF(tbl_TraineeRecords[Department],tbl_Department[[#This Row],[Department]])</f>
        <v>102</v>
      </c>
      <c r="U10">
        <f>SUMIF(tbl_EmpDatabase[Department],tbl_Department[[#This Row],[Department]],tbl_EmpDatabase[Target Hrs.])</f>
        <v>680</v>
      </c>
      <c r="V10">
        <f>GETPIVOTDATA("[Measures].[Sum of Training Hrs. 2]",Pivots!$V$1,"[tbl_TraineeRecords].[Department]","[tbl_TraineeRecords].[Department].&amp;["&amp; tbl_Department[[#This Row],[Department]]&amp;"]")</f>
        <v>476</v>
      </c>
      <c r="W10" s="20">
        <f>tbl_Department[[#This Row],[Training Hrs.]]/tbl_Department[[#This Row],[No. of Employee]]</f>
        <v>4.666666666666667</v>
      </c>
      <c r="X10" s="21">
        <f>tbl_Department[[#This Row],[Training Hrs.]]/tbl_Department[[#This Row],[Target Hrs.]]</f>
        <v>0.7</v>
      </c>
      <c r="Z10" t="s">
        <v>244</v>
      </c>
      <c r="AA10">
        <f>GETPIVOTDATA("[Measures].[Sum of Training Hrs. 2]",Pivots!$S$1,"[tbl_TraineeRecords].[Date (Month)]","[tbl_TraineeRecords].[Date (Month)].&amp;["&amp; tbl_Monthly[[#This Row],[Month]]&amp;"]")</f>
        <v>104</v>
      </c>
    </row>
    <row r="11" spans="1:29" x14ac:dyDescent="0.25">
      <c r="A11" s="18" t="s">
        <v>34</v>
      </c>
      <c r="B11" s="18" t="s">
        <v>35</v>
      </c>
      <c r="C11" s="18" t="s">
        <v>36</v>
      </c>
      <c r="D11" s="18">
        <v>35</v>
      </c>
      <c r="L11" t="s">
        <v>22</v>
      </c>
      <c r="M11">
        <f>IF($F$1=1,tbl_TrainingList[[#This Row],[Training Hrs.]],tbl_TrainingList[[#This Row],[Unique Trainee Count]])</f>
        <v>13</v>
      </c>
      <c r="N11">
        <f>GETPIVOTDATA("[Measures].[Sum of Training Hrs.]",Pivots!$O$1,"[tbl_TrainingRecords].[Training Topic]","[tbl_TrainingRecords].[Training Topic].&amp;["&amp; tbl_TrainingList[[#This Row],[Training Topic]]&amp;"]")</f>
        <v>13</v>
      </c>
      <c r="O11">
        <f>GETPIVOTDATA("[Measures].[Count of Employee ID]",Pivots!$O$1,"[tbl_TrainingRecords].[Training Topic]","[tbl_TrainingRecords].[Training Topic].&amp;["&amp; tbl_TrainingList[[#This Row],[Training Topic]]&amp;"]")</f>
        <v>34</v>
      </c>
      <c r="Z11" t="s">
        <v>245</v>
      </c>
      <c r="AA11">
        <f>GETPIVOTDATA("[Measures].[Sum of Training Hrs. 2]",Pivots!$S$1,"[tbl_TraineeRecords].[Date (Month)]","[tbl_TraineeRecords].[Date (Month)].&amp;["&amp; tbl_Monthly[[#This Row],[Month]]&amp;"]")</f>
        <v>222</v>
      </c>
    </row>
    <row r="12" spans="1:29" x14ac:dyDescent="0.25">
      <c r="A12" s="18" t="s">
        <v>213</v>
      </c>
      <c r="B12" s="18" t="s">
        <v>214</v>
      </c>
      <c r="C12" s="18" t="s">
        <v>30</v>
      </c>
      <c r="D12" s="18">
        <v>35</v>
      </c>
      <c r="Z12" t="s">
        <v>246</v>
      </c>
      <c r="AA12">
        <f>GETPIVOTDATA("[Measures].[Sum of Training Hrs. 2]",Pivots!$S$1,"[tbl_TraineeRecords].[Date (Month)]","[tbl_TraineeRecords].[Date (Month)].&amp;["&amp; tbl_Monthly[[#This Row],[Month]]&amp;"]")</f>
        <v>110</v>
      </c>
    </row>
    <row r="13" spans="1:29" x14ac:dyDescent="0.25">
      <c r="A13" s="18" t="s">
        <v>223</v>
      </c>
      <c r="B13" s="18" t="s">
        <v>224</v>
      </c>
      <c r="C13" s="18" t="s">
        <v>30</v>
      </c>
      <c r="D13" s="18">
        <v>40</v>
      </c>
      <c r="Z13" t="s">
        <v>247</v>
      </c>
      <c r="AA13">
        <f>GETPIVOTDATA("[Measures].[Sum of Training Hrs. 2]",Pivots!$S$1,"[tbl_TraineeRecords].[Date (Month)]","[tbl_TraineeRecords].[Date (Month)].&amp;["&amp; tbl_Monthly[[#This Row],[Month]]&amp;"]")</f>
        <v>214</v>
      </c>
    </row>
    <row r="14" spans="1:29" x14ac:dyDescent="0.25">
      <c r="A14" s="18" t="s">
        <v>66</v>
      </c>
      <c r="B14" s="18" t="s">
        <v>67</v>
      </c>
      <c r="C14" s="18" t="s">
        <v>30</v>
      </c>
      <c r="D14" s="18">
        <v>30</v>
      </c>
    </row>
    <row r="15" spans="1:29" x14ac:dyDescent="0.25">
      <c r="A15" s="18" t="s">
        <v>78</v>
      </c>
      <c r="B15" s="18" t="s">
        <v>79</v>
      </c>
      <c r="C15" s="18" t="s">
        <v>80</v>
      </c>
      <c r="D15" s="18">
        <v>30</v>
      </c>
    </row>
    <row r="16" spans="1:29" x14ac:dyDescent="0.25">
      <c r="A16" s="18" t="s">
        <v>225</v>
      </c>
      <c r="B16" s="18" t="s">
        <v>226</v>
      </c>
      <c r="C16" s="18" t="s">
        <v>30</v>
      </c>
      <c r="D16" s="18">
        <v>35</v>
      </c>
    </row>
    <row r="17" spans="1:4" x14ac:dyDescent="0.25">
      <c r="A17" s="18" t="s">
        <v>171</v>
      </c>
      <c r="B17" s="18" t="s">
        <v>172</v>
      </c>
      <c r="C17" s="18" t="s">
        <v>30</v>
      </c>
      <c r="D17" s="18">
        <v>40</v>
      </c>
    </row>
    <row r="18" spans="1:4" x14ac:dyDescent="0.25">
      <c r="A18" s="18" t="s">
        <v>100</v>
      </c>
      <c r="B18" s="18" t="s">
        <v>101</v>
      </c>
      <c r="C18" s="18" t="s">
        <v>102</v>
      </c>
      <c r="D18" s="18">
        <v>40</v>
      </c>
    </row>
    <row r="19" spans="1:4" x14ac:dyDescent="0.25">
      <c r="A19" s="18" t="s">
        <v>143</v>
      </c>
      <c r="B19" s="18" t="s">
        <v>144</v>
      </c>
      <c r="C19" s="18" t="s">
        <v>30</v>
      </c>
      <c r="D19" s="18">
        <v>40</v>
      </c>
    </row>
    <row r="20" spans="1:4" x14ac:dyDescent="0.25">
      <c r="A20" s="18" t="s">
        <v>157</v>
      </c>
      <c r="B20" s="18" t="s">
        <v>158</v>
      </c>
      <c r="C20" s="18" t="s">
        <v>102</v>
      </c>
      <c r="D20" s="18">
        <v>25</v>
      </c>
    </row>
    <row r="21" spans="1:4" x14ac:dyDescent="0.25">
      <c r="A21" s="18" t="s">
        <v>37</v>
      </c>
      <c r="B21" s="18" t="s">
        <v>38</v>
      </c>
      <c r="C21" s="18" t="s">
        <v>30</v>
      </c>
      <c r="D21" s="18">
        <v>35</v>
      </c>
    </row>
    <row r="22" spans="1:4" x14ac:dyDescent="0.25">
      <c r="A22" s="18" t="s">
        <v>181</v>
      </c>
      <c r="B22" s="18" t="s">
        <v>182</v>
      </c>
      <c r="C22" s="18" t="s">
        <v>30</v>
      </c>
      <c r="D22" s="18">
        <v>45</v>
      </c>
    </row>
    <row r="23" spans="1:4" x14ac:dyDescent="0.25">
      <c r="A23" s="18" t="s">
        <v>183</v>
      </c>
      <c r="B23" s="18" t="s">
        <v>184</v>
      </c>
      <c r="C23" s="18" t="s">
        <v>30</v>
      </c>
      <c r="D23" s="18">
        <v>40</v>
      </c>
    </row>
    <row r="24" spans="1:4" x14ac:dyDescent="0.25">
      <c r="A24" s="18" t="s">
        <v>68</v>
      </c>
      <c r="B24" s="18" t="s">
        <v>69</v>
      </c>
      <c r="C24" s="18" t="s">
        <v>36</v>
      </c>
      <c r="D24" s="18">
        <v>40</v>
      </c>
    </row>
    <row r="25" spans="1:4" x14ac:dyDescent="0.25">
      <c r="A25" s="18" t="s">
        <v>103</v>
      </c>
      <c r="B25" s="18" t="s">
        <v>104</v>
      </c>
      <c r="C25" s="18" t="s">
        <v>36</v>
      </c>
      <c r="D25" s="18">
        <v>30</v>
      </c>
    </row>
    <row r="26" spans="1:4" x14ac:dyDescent="0.25">
      <c r="A26" s="18" t="s">
        <v>215</v>
      </c>
      <c r="B26" s="18" t="s">
        <v>216</v>
      </c>
      <c r="C26" s="18" t="s">
        <v>30</v>
      </c>
      <c r="D26" s="18">
        <v>50</v>
      </c>
    </row>
    <row r="27" spans="1:4" x14ac:dyDescent="0.25">
      <c r="A27" s="18" t="s">
        <v>123</v>
      </c>
      <c r="B27" s="18" t="s">
        <v>124</v>
      </c>
      <c r="C27" s="18" t="s">
        <v>102</v>
      </c>
      <c r="D27" s="18">
        <v>50</v>
      </c>
    </row>
    <row r="28" spans="1:4" x14ac:dyDescent="0.25">
      <c r="A28" s="18" t="s">
        <v>125</v>
      </c>
      <c r="B28" s="18" t="s">
        <v>126</v>
      </c>
      <c r="C28" s="18" t="s">
        <v>97</v>
      </c>
      <c r="D28" s="18">
        <v>40</v>
      </c>
    </row>
    <row r="29" spans="1:4" x14ac:dyDescent="0.25">
      <c r="A29" s="18" t="s">
        <v>161</v>
      </c>
      <c r="B29" s="18" t="s">
        <v>162</v>
      </c>
      <c r="C29" s="18" t="s">
        <v>30</v>
      </c>
      <c r="D29" s="18">
        <v>30</v>
      </c>
    </row>
    <row r="30" spans="1:4" x14ac:dyDescent="0.25">
      <c r="A30" s="18" t="s">
        <v>39</v>
      </c>
      <c r="B30" s="18" t="s">
        <v>40</v>
      </c>
      <c r="C30" s="18" t="s">
        <v>30</v>
      </c>
      <c r="D30" s="18">
        <v>30</v>
      </c>
    </row>
    <row r="31" spans="1:4" x14ac:dyDescent="0.25">
      <c r="A31" s="18" t="s">
        <v>145</v>
      </c>
      <c r="B31" s="18" t="s">
        <v>146</v>
      </c>
      <c r="C31" s="18" t="s">
        <v>30</v>
      </c>
      <c r="D31" s="18">
        <v>50</v>
      </c>
    </row>
    <row r="32" spans="1:4" x14ac:dyDescent="0.25">
      <c r="A32" s="18" t="s">
        <v>173</v>
      </c>
      <c r="B32" s="18" t="s">
        <v>174</v>
      </c>
      <c r="C32" s="18" t="s">
        <v>119</v>
      </c>
      <c r="D32" s="18">
        <v>30</v>
      </c>
    </row>
    <row r="33" spans="1:4" x14ac:dyDescent="0.25">
      <c r="A33" s="18" t="s">
        <v>147</v>
      </c>
      <c r="B33" s="18" t="s">
        <v>148</v>
      </c>
      <c r="C33" s="18" t="s">
        <v>30</v>
      </c>
      <c r="D33" s="18">
        <v>30</v>
      </c>
    </row>
    <row r="34" spans="1:4" x14ac:dyDescent="0.25">
      <c r="A34" s="18" t="s">
        <v>41</v>
      </c>
      <c r="B34" s="18" t="s">
        <v>42</v>
      </c>
      <c r="C34" s="18" t="s">
        <v>43</v>
      </c>
      <c r="D34" s="18">
        <v>45</v>
      </c>
    </row>
    <row r="35" spans="1:4" x14ac:dyDescent="0.25">
      <c r="A35" s="18" t="s">
        <v>105</v>
      </c>
      <c r="B35" s="18" t="s">
        <v>106</v>
      </c>
      <c r="C35" s="18" t="s">
        <v>30</v>
      </c>
      <c r="D35" s="18">
        <v>25</v>
      </c>
    </row>
    <row r="36" spans="1:4" x14ac:dyDescent="0.25">
      <c r="A36" s="18" t="s">
        <v>221</v>
      </c>
      <c r="B36" s="18" t="s">
        <v>222</v>
      </c>
      <c r="C36" s="18" t="s">
        <v>30</v>
      </c>
      <c r="D36" s="18">
        <v>50</v>
      </c>
    </row>
    <row r="37" spans="1:4" x14ac:dyDescent="0.25">
      <c r="A37" s="18" t="s">
        <v>127</v>
      </c>
      <c r="B37" s="18" t="s">
        <v>128</v>
      </c>
      <c r="C37" s="18" t="s">
        <v>30</v>
      </c>
      <c r="D37" s="18">
        <v>35</v>
      </c>
    </row>
    <row r="38" spans="1:4" x14ac:dyDescent="0.25">
      <c r="A38" s="18" t="s">
        <v>44</v>
      </c>
      <c r="B38" s="18" t="s">
        <v>45</v>
      </c>
      <c r="C38" s="18" t="s">
        <v>33</v>
      </c>
      <c r="D38" s="18">
        <v>45</v>
      </c>
    </row>
    <row r="39" spans="1:4" x14ac:dyDescent="0.25">
      <c r="A39" s="18" t="s">
        <v>207</v>
      </c>
      <c r="B39" s="18" t="s">
        <v>208</v>
      </c>
      <c r="C39" s="18" t="s">
        <v>30</v>
      </c>
      <c r="D39" s="18">
        <v>40</v>
      </c>
    </row>
    <row r="40" spans="1:4" x14ac:dyDescent="0.25">
      <c r="A40" s="18" t="s">
        <v>70</v>
      </c>
      <c r="B40" s="18" t="s">
        <v>71</v>
      </c>
      <c r="C40" s="18" t="s">
        <v>36</v>
      </c>
      <c r="D40" s="18">
        <v>30</v>
      </c>
    </row>
    <row r="41" spans="1:4" x14ac:dyDescent="0.25">
      <c r="A41" s="18" t="s">
        <v>46</v>
      </c>
      <c r="B41" s="18" t="s">
        <v>47</v>
      </c>
      <c r="C41" s="18" t="s">
        <v>30</v>
      </c>
      <c r="D41" s="18">
        <v>40</v>
      </c>
    </row>
    <row r="42" spans="1:4" x14ac:dyDescent="0.25">
      <c r="A42" s="18" t="s">
        <v>189</v>
      </c>
      <c r="B42" s="18" t="s">
        <v>190</v>
      </c>
      <c r="C42" s="18" t="s">
        <v>33</v>
      </c>
      <c r="D42" s="18">
        <v>40</v>
      </c>
    </row>
    <row r="43" spans="1:4" x14ac:dyDescent="0.25">
      <c r="A43" s="18" t="s">
        <v>48</v>
      </c>
      <c r="B43" s="18" t="s">
        <v>49</v>
      </c>
      <c r="C43" s="18" t="s">
        <v>30</v>
      </c>
      <c r="D43" s="18">
        <v>50</v>
      </c>
    </row>
    <row r="44" spans="1:4" x14ac:dyDescent="0.25">
      <c r="A44" s="18" t="s">
        <v>50</v>
      </c>
      <c r="B44" s="18" t="s">
        <v>51</v>
      </c>
      <c r="C44" s="18" t="s">
        <v>30</v>
      </c>
      <c r="D44" s="18">
        <v>35</v>
      </c>
    </row>
    <row r="45" spans="1:4" x14ac:dyDescent="0.25">
      <c r="A45" s="18" t="s">
        <v>149</v>
      </c>
      <c r="B45" s="18" t="s">
        <v>150</v>
      </c>
      <c r="C45" s="18" t="s">
        <v>33</v>
      </c>
      <c r="D45" s="18">
        <v>40</v>
      </c>
    </row>
    <row r="46" spans="1:4" x14ac:dyDescent="0.25">
      <c r="A46" s="18" t="s">
        <v>129</v>
      </c>
      <c r="B46" s="18" t="s">
        <v>130</v>
      </c>
      <c r="C46" s="18" t="s">
        <v>102</v>
      </c>
      <c r="D46" s="18">
        <v>30</v>
      </c>
    </row>
    <row r="47" spans="1:4" x14ac:dyDescent="0.25">
      <c r="A47" s="18" t="s">
        <v>199</v>
      </c>
      <c r="B47" s="18" t="s">
        <v>200</v>
      </c>
      <c r="C47" s="18" t="s">
        <v>30</v>
      </c>
      <c r="D47" s="18">
        <v>35</v>
      </c>
    </row>
    <row r="48" spans="1:4" x14ac:dyDescent="0.25">
      <c r="A48" s="18" t="s">
        <v>81</v>
      </c>
      <c r="B48" s="18" t="s">
        <v>82</v>
      </c>
      <c r="C48" s="18" t="s">
        <v>80</v>
      </c>
      <c r="D48" s="18">
        <v>50</v>
      </c>
    </row>
    <row r="49" spans="1:4" x14ac:dyDescent="0.25">
      <c r="A49" s="18" t="s">
        <v>163</v>
      </c>
      <c r="B49" s="18" t="s">
        <v>164</v>
      </c>
      <c r="C49" s="18" t="s">
        <v>102</v>
      </c>
      <c r="D49" s="18">
        <v>25</v>
      </c>
    </row>
    <row r="50" spans="1:4" x14ac:dyDescent="0.25">
      <c r="A50" s="18" t="s">
        <v>52</v>
      </c>
      <c r="B50" s="18" t="s">
        <v>53</v>
      </c>
      <c r="C50" s="18" t="s">
        <v>30</v>
      </c>
      <c r="D50" s="18">
        <v>35</v>
      </c>
    </row>
    <row r="51" spans="1:4" x14ac:dyDescent="0.25">
      <c r="A51" s="18" t="s">
        <v>107</v>
      </c>
      <c r="B51" s="18" t="s">
        <v>108</v>
      </c>
      <c r="C51" s="18" t="s">
        <v>30</v>
      </c>
      <c r="D51" s="18">
        <v>45</v>
      </c>
    </row>
    <row r="52" spans="1:4" x14ac:dyDescent="0.25">
      <c r="A52" s="18" t="s">
        <v>54</v>
      </c>
      <c r="B52" s="18" t="s">
        <v>55</v>
      </c>
      <c r="C52" s="18" t="s">
        <v>30</v>
      </c>
      <c r="D52" s="18">
        <v>25</v>
      </c>
    </row>
    <row r="53" spans="1:4" x14ac:dyDescent="0.25">
      <c r="A53" s="18" t="s">
        <v>83</v>
      </c>
      <c r="B53" s="18" t="s">
        <v>84</v>
      </c>
      <c r="C53" s="18" t="s">
        <v>80</v>
      </c>
      <c r="D53" s="18">
        <v>30</v>
      </c>
    </row>
    <row r="54" spans="1:4" x14ac:dyDescent="0.25">
      <c r="A54" s="18" t="s">
        <v>72</v>
      </c>
      <c r="B54" s="18" t="s">
        <v>73</v>
      </c>
      <c r="C54" s="18" t="s">
        <v>43</v>
      </c>
      <c r="D54" s="18">
        <v>40</v>
      </c>
    </row>
    <row r="55" spans="1:4" x14ac:dyDescent="0.25">
      <c r="A55" s="18" t="s">
        <v>131</v>
      </c>
      <c r="B55" s="18" t="s">
        <v>132</v>
      </c>
      <c r="C55" s="18" t="s">
        <v>33</v>
      </c>
      <c r="D55" s="18">
        <v>40</v>
      </c>
    </row>
    <row r="56" spans="1:4" x14ac:dyDescent="0.25">
      <c r="A56" s="18" t="s">
        <v>109</v>
      </c>
      <c r="B56" s="18" t="s">
        <v>110</v>
      </c>
      <c r="C56" s="18" t="s">
        <v>97</v>
      </c>
      <c r="D56" s="18">
        <v>30</v>
      </c>
    </row>
    <row r="57" spans="1:4" x14ac:dyDescent="0.25">
      <c r="A57" s="18" t="s">
        <v>159</v>
      </c>
      <c r="B57" s="18" t="s">
        <v>160</v>
      </c>
      <c r="C57" s="18" t="s">
        <v>36</v>
      </c>
      <c r="D57" s="18">
        <v>45</v>
      </c>
    </row>
    <row r="58" spans="1:4" x14ac:dyDescent="0.25">
      <c r="A58" s="18" t="s">
        <v>56</v>
      </c>
      <c r="B58" s="18" t="s">
        <v>57</v>
      </c>
      <c r="C58" s="18" t="s">
        <v>33</v>
      </c>
      <c r="D58" s="18">
        <v>30</v>
      </c>
    </row>
    <row r="59" spans="1:4" x14ac:dyDescent="0.25">
      <c r="A59" s="18" t="s">
        <v>111</v>
      </c>
      <c r="B59" s="18" t="s">
        <v>112</v>
      </c>
      <c r="C59" s="18" t="s">
        <v>33</v>
      </c>
      <c r="D59" s="18">
        <v>35</v>
      </c>
    </row>
    <row r="60" spans="1:4" x14ac:dyDescent="0.25">
      <c r="A60" s="18" t="s">
        <v>113</v>
      </c>
      <c r="B60" s="18" t="s">
        <v>114</v>
      </c>
      <c r="C60" s="18" t="s">
        <v>36</v>
      </c>
      <c r="D60" s="18">
        <v>35</v>
      </c>
    </row>
    <row r="61" spans="1:4" x14ac:dyDescent="0.25">
      <c r="A61" s="18" t="s">
        <v>217</v>
      </c>
      <c r="B61" s="18" t="s">
        <v>218</v>
      </c>
      <c r="C61" s="18" t="s">
        <v>97</v>
      </c>
      <c r="D61" s="18">
        <v>30</v>
      </c>
    </row>
    <row r="62" spans="1:4" x14ac:dyDescent="0.25">
      <c r="A62" s="18" t="s">
        <v>191</v>
      </c>
      <c r="B62" s="18" t="s">
        <v>192</v>
      </c>
      <c r="C62" s="18" t="s">
        <v>119</v>
      </c>
      <c r="D62" s="18">
        <v>25</v>
      </c>
    </row>
    <row r="63" spans="1:4" x14ac:dyDescent="0.25">
      <c r="A63" s="18" t="s">
        <v>85</v>
      </c>
      <c r="B63" s="18" t="s">
        <v>86</v>
      </c>
      <c r="C63" s="18" t="s">
        <v>80</v>
      </c>
      <c r="D63" s="18">
        <v>50</v>
      </c>
    </row>
    <row r="64" spans="1:4" x14ac:dyDescent="0.25">
      <c r="A64" s="18" t="s">
        <v>165</v>
      </c>
      <c r="B64" s="18" t="s">
        <v>166</v>
      </c>
      <c r="C64" s="18" t="s">
        <v>43</v>
      </c>
      <c r="D64" s="18">
        <v>40</v>
      </c>
    </row>
    <row r="65" spans="1:4" x14ac:dyDescent="0.25">
      <c r="A65" s="18" t="s">
        <v>87</v>
      </c>
      <c r="B65" s="18" t="s">
        <v>88</v>
      </c>
      <c r="C65" s="18" t="s">
        <v>80</v>
      </c>
      <c r="D65" s="18">
        <v>50</v>
      </c>
    </row>
    <row r="66" spans="1:4" x14ac:dyDescent="0.25">
      <c r="A66" s="18" t="s">
        <v>58</v>
      </c>
      <c r="B66" s="18" t="s">
        <v>59</v>
      </c>
      <c r="C66" s="18" t="s">
        <v>36</v>
      </c>
      <c r="D66" s="18">
        <v>45</v>
      </c>
    </row>
    <row r="67" spans="1:4" x14ac:dyDescent="0.25">
      <c r="A67" s="18" t="s">
        <v>133</v>
      </c>
      <c r="B67" s="18" t="s">
        <v>134</v>
      </c>
      <c r="C67" s="18" t="s">
        <v>122</v>
      </c>
      <c r="D67" s="18">
        <v>35</v>
      </c>
    </row>
    <row r="68" spans="1:4" x14ac:dyDescent="0.25">
      <c r="A68" s="18" t="s">
        <v>185</v>
      </c>
      <c r="B68" s="18" t="s">
        <v>186</v>
      </c>
      <c r="C68" s="18" t="s">
        <v>36</v>
      </c>
      <c r="D68" s="18">
        <v>35</v>
      </c>
    </row>
    <row r="69" spans="1:4" x14ac:dyDescent="0.25">
      <c r="A69" s="18" t="s">
        <v>151</v>
      </c>
      <c r="B69" s="18" t="s">
        <v>152</v>
      </c>
      <c r="C69" s="18" t="s">
        <v>80</v>
      </c>
      <c r="D69" s="18">
        <v>30</v>
      </c>
    </row>
    <row r="70" spans="1:4" x14ac:dyDescent="0.25">
      <c r="A70" s="18" t="s">
        <v>175</v>
      </c>
      <c r="B70" s="18" t="s">
        <v>176</v>
      </c>
      <c r="C70" s="18" t="s">
        <v>97</v>
      </c>
      <c r="D70" s="18">
        <v>45</v>
      </c>
    </row>
    <row r="71" spans="1:4" x14ac:dyDescent="0.25">
      <c r="A71" s="18" t="s">
        <v>74</v>
      </c>
      <c r="B71" s="18" t="s">
        <v>75</v>
      </c>
      <c r="C71" s="18" t="s">
        <v>36</v>
      </c>
      <c r="D71" s="18">
        <v>30</v>
      </c>
    </row>
    <row r="72" spans="1:4" x14ac:dyDescent="0.25">
      <c r="A72" s="18" t="s">
        <v>60</v>
      </c>
      <c r="B72" s="18" t="s">
        <v>61</v>
      </c>
      <c r="C72" s="18" t="s">
        <v>43</v>
      </c>
      <c r="D72" s="18">
        <v>35</v>
      </c>
    </row>
    <row r="73" spans="1:4" x14ac:dyDescent="0.25">
      <c r="A73" s="18" t="s">
        <v>89</v>
      </c>
      <c r="B73" s="18" t="s">
        <v>90</v>
      </c>
      <c r="C73" s="18" t="s">
        <v>80</v>
      </c>
      <c r="D73" s="18">
        <v>30</v>
      </c>
    </row>
    <row r="74" spans="1:4" x14ac:dyDescent="0.25">
      <c r="A74" s="18" t="s">
        <v>205</v>
      </c>
      <c r="B74" s="18" t="s">
        <v>206</v>
      </c>
      <c r="C74" s="18" t="s">
        <v>122</v>
      </c>
      <c r="D74" s="18">
        <v>40</v>
      </c>
    </row>
    <row r="75" spans="1:4" x14ac:dyDescent="0.25">
      <c r="A75" s="18" t="s">
        <v>193</v>
      </c>
      <c r="B75" s="18" t="s">
        <v>194</v>
      </c>
      <c r="C75" s="18" t="s">
        <v>36</v>
      </c>
      <c r="D75" s="18">
        <v>50</v>
      </c>
    </row>
    <row r="76" spans="1:4" x14ac:dyDescent="0.25">
      <c r="A76" s="18" t="s">
        <v>219</v>
      </c>
      <c r="B76" s="18" t="s">
        <v>220</v>
      </c>
      <c r="C76" s="18" t="s">
        <v>122</v>
      </c>
      <c r="D76" s="18">
        <v>25</v>
      </c>
    </row>
    <row r="77" spans="1:4" x14ac:dyDescent="0.25">
      <c r="A77" s="18" t="s">
        <v>135</v>
      </c>
      <c r="B77" s="18" t="s">
        <v>136</v>
      </c>
      <c r="C77" s="18" t="s">
        <v>33</v>
      </c>
      <c r="D77" s="18">
        <v>35</v>
      </c>
    </row>
    <row r="78" spans="1:4" x14ac:dyDescent="0.25">
      <c r="A78" s="18" t="s">
        <v>91</v>
      </c>
      <c r="B78" s="18" t="s">
        <v>92</v>
      </c>
      <c r="C78" s="18" t="s">
        <v>80</v>
      </c>
      <c r="D78" s="18">
        <v>35</v>
      </c>
    </row>
    <row r="79" spans="1:4" x14ac:dyDescent="0.25">
      <c r="A79" s="18" t="s">
        <v>76</v>
      </c>
      <c r="B79" s="18" t="s">
        <v>77</v>
      </c>
      <c r="C79" s="18" t="s">
        <v>36</v>
      </c>
      <c r="D79" s="18">
        <v>35</v>
      </c>
    </row>
    <row r="80" spans="1:4" x14ac:dyDescent="0.25">
      <c r="A80" s="18" t="s">
        <v>209</v>
      </c>
      <c r="B80" s="18" t="s">
        <v>210</v>
      </c>
      <c r="C80" s="18" t="s">
        <v>33</v>
      </c>
      <c r="D80" s="18">
        <v>30</v>
      </c>
    </row>
    <row r="81" spans="1:4" x14ac:dyDescent="0.25">
      <c r="A81" s="18" t="s">
        <v>195</v>
      </c>
      <c r="B81" s="18" t="s">
        <v>196</v>
      </c>
      <c r="C81" s="18" t="s">
        <v>80</v>
      </c>
      <c r="D81" s="18">
        <v>40</v>
      </c>
    </row>
    <row r="82" spans="1:4" x14ac:dyDescent="0.25">
      <c r="A82" s="18" t="s">
        <v>137</v>
      </c>
      <c r="B82" s="18" t="s">
        <v>138</v>
      </c>
      <c r="C82" s="18" t="s">
        <v>43</v>
      </c>
      <c r="D82" s="18">
        <v>50</v>
      </c>
    </row>
    <row r="83" spans="1:4" x14ac:dyDescent="0.25">
      <c r="A83" s="18" t="s">
        <v>167</v>
      </c>
      <c r="B83" s="18" t="s">
        <v>168</v>
      </c>
      <c r="C83" s="18" t="s">
        <v>122</v>
      </c>
      <c r="D83" s="18">
        <v>35</v>
      </c>
    </row>
    <row r="84" spans="1:4" x14ac:dyDescent="0.25">
      <c r="A84" s="18" t="s">
        <v>153</v>
      </c>
      <c r="B84" s="18" t="s">
        <v>154</v>
      </c>
      <c r="C84" s="18" t="s">
        <v>36</v>
      </c>
      <c r="D84" s="18">
        <v>35</v>
      </c>
    </row>
    <row r="85" spans="1:4" x14ac:dyDescent="0.25">
      <c r="A85" s="18" t="s">
        <v>155</v>
      </c>
      <c r="B85" s="18" t="s">
        <v>156</v>
      </c>
      <c r="C85" s="18" t="s">
        <v>80</v>
      </c>
      <c r="D85" s="18">
        <v>35</v>
      </c>
    </row>
    <row r="86" spans="1:4" x14ac:dyDescent="0.25">
      <c r="A86" s="18" t="s">
        <v>93</v>
      </c>
      <c r="B86" s="18" t="s">
        <v>94</v>
      </c>
      <c r="C86" s="18" t="s">
        <v>80</v>
      </c>
      <c r="D86" s="18">
        <v>30</v>
      </c>
    </row>
    <row r="87" spans="1:4" x14ac:dyDescent="0.25">
      <c r="A87" s="18" t="s">
        <v>139</v>
      </c>
      <c r="B87" s="18" t="s">
        <v>140</v>
      </c>
      <c r="C87" s="18" t="s">
        <v>36</v>
      </c>
      <c r="D87" s="18">
        <v>25</v>
      </c>
    </row>
    <row r="88" spans="1:4" x14ac:dyDescent="0.25">
      <c r="A88" s="18" t="s">
        <v>227</v>
      </c>
      <c r="B88" s="18" t="s">
        <v>228</v>
      </c>
      <c r="C88" s="18" t="s">
        <v>80</v>
      </c>
      <c r="D88" s="18">
        <v>30</v>
      </c>
    </row>
    <row r="89" spans="1:4" x14ac:dyDescent="0.25">
      <c r="A89" s="18" t="s">
        <v>203</v>
      </c>
      <c r="B89" s="18" t="s">
        <v>204</v>
      </c>
      <c r="C89" s="18" t="s">
        <v>80</v>
      </c>
      <c r="D89" s="18">
        <v>35</v>
      </c>
    </row>
    <row r="90" spans="1:4" x14ac:dyDescent="0.25">
      <c r="A90" s="18" t="s">
        <v>115</v>
      </c>
      <c r="B90" s="18" t="s">
        <v>116</v>
      </c>
      <c r="C90" s="18" t="s">
        <v>36</v>
      </c>
      <c r="D90" s="18">
        <v>45</v>
      </c>
    </row>
    <row r="91" spans="1:4" x14ac:dyDescent="0.25">
      <c r="A91" s="18" t="s">
        <v>62</v>
      </c>
      <c r="B91" s="18" t="s">
        <v>63</v>
      </c>
      <c r="C91" s="18" t="s">
        <v>36</v>
      </c>
      <c r="D91" s="18">
        <v>35</v>
      </c>
    </row>
    <row r="92" spans="1:4" x14ac:dyDescent="0.25">
      <c r="A92" s="18" t="s">
        <v>197</v>
      </c>
      <c r="B92" s="18" t="s">
        <v>198</v>
      </c>
      <c r="C92" s="18" t="s">
        <v>80</v>
      </c>
      <c r="D92" s="18">
        <v>50</v>
      </c>
    </row>
    <row r="93" spans="1:4" x14ac:dyDescent="0.25">
      <c r="A93" s="18" t="s">
        <v>177</v>
      </c>
      <c r="B93" s="18" t="s">
        <v>178</v>
      </c>
      <c r="C93" s="18" t="s">
        <v>36</v>
      </c>
      <c r="D93" s="18">
        <v>50</v>
      </c>
    </row>
    <row r="94" spans="1:4" x14ac:dyDescent="0.25">
      <c r="A94" s="18" t="s">
        <v>169</v>
      </c>
      <c r="B94" s="18" t="s">
        <v>170</v>
      </c>
      <c r="C94" s="18" t="s">
        <v>122</v>
      </c>
      <c r="D94" s="18">
        <v>50</v>
      </c>
    </row>
    <row r="95" spans="1:4" x14ac:dyDescent="0.25">
      <c r="A95" s="18" t="s">
        <v>201</v>
      </c>
      <c r="B95" s="18" t="s">
        <v>202</v>
      </c>
      <c r="C95" s="18" t="s">
        <v>36</v>
      </c>
      <c r="D95" s="18">
        <v>40</v>
      </c>
    </row>
    <row r="96" spans="1:4" x14ac:dyDescent="0.25">
      <c r="A96" s="18" t="s">
        <v>179</v>
      </c>
      <c r="B96" s="18" t="s">
        <v>180</v>
      </c>
      <c r="C96" s="18" t="s">
        <v>36</v>
      </c>
      <c r="D96" s="18">
        <v>40</v>
      </c>
    </row>
    <row r="97" spans="1:4" x14ac:dyDescent="0.25">
      <c r="A97" s="18" t="s">
        <v>141</v>
      </c>
      <c r="B97" s="18" t="s">
        <v>142</v>
      </c>
      <c r="C97" s="18" t="s">
        <v>122</v>
      </c>
      <c r="D97" s="18">
        <v>45</v>
      </c>
    </row>
  </sheetData>
  <phoneticPr fontId="5" type="noConversion"/>
  <pageMargins left="0.7" right="0.7" top="0.75" bottom="0.75" header="0.3" footer="0.3"/>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B788E-E855-408F-83F3-5066950F9F64}">
  <sheetPr codeName="TrainerRecords">
    <tabColor rgb="FFE6325A"/>
  </sheetPr>
  <dimension ref="A1:E36"/>
  <sheetViews>
    <sheetView showGridLines="0" workbookViewId="0">
      <selection activeCell="C33" sqref="C33"/>
    </sheetView>
  </sheetViews>
  <sheetFormatPr defaultRowHeight="15" x14ac:dyDescent="0.25"/>
  <cols>
    <col min="1" max="1" width="14.5703125" customWidth="1"/>
    <col min="2" max="2" width="11.42578125" customWidth="1"/>
    <col min="3" max="3" width="25.28515625" customWidth="1"/>
    <col min="4" max="4" width="12.28515625" customWidth="1"/>
    <col min="5" max="5" width="17.5703125" customWidth="1"/>
  </cols>
  <sheetData>
    <row r="1" spans="1:5" x14ac:dyDescent="0.25">
      <c r="A1" s="1" t="s">
        <v>0</v>
      </c>
      <c r="B1" s="2" t="s">
        <v>1</v>
      </c>
      <c r="C1" s="2" t="s">
        <v>2</v>
      </c>
      <c r="D1" s="2" t="s">
        <v>3</v>
      </c>
      <c r="E1" s="2" t="s">
        <v>4</v>
      </c>
    </row>
    <row r="2" spans="1:5" x14ac:dyDescent="0.25">
      <c r="A2">
        <v>1</v>
      </c>
      <c r="B2" s="3">
        <v>44931</v>
      </c>
      <c r="C2" t="s">
        <v>5</v>
      </c>
      <c r="D2" t="s">
        <v>6</v>
      </c>
      <c r="E2">
        <v>6</v>
      </c>
    </row>
    <row r="3" spans="1:5" x14ac:dyDescent="0.25">
      <c r="A3">
        <v>2</v>
      </c>
      <c r="B3" s="3">
        <v>44937</v>
      </c>
      <c r="C3" t="s">
        <v>7</v>
      </c>
      <c r="D3" t="s">
        <v>8</v>
      </c>
      <c r="E3">
        <v>4</v>
      </c>
    </row>
    <row r="4" spans="1:5" x14ac:dyDescent="0.25">
      <c r="A4">
        <v>3</v>
      </c>
      <c r="B4" s="3">
        <v>44948</v>
      </c>
      <c r="C4" t="s">
        <v>9</v>
      </c>
      <c r="D4" t="s">
        <v>10</v>
      </c>
      <c r="E4">
        <v>3</v>
      </c>
    </row>
    <row r="5" spans="1:5" x14ac:dyDescent="0.25">
      <c r="A5">
        <v>4</v>
      </c>
      <c r="B5" s="3">
        <v>44959</v>
      </c>
      <c r="C5" t="s">
        <v>11</v>
      </c>
      <c r="D5" t="s">
        <v>12</v>
      </c>
      <c r="E5">
        <v>5</v>
      </c>
    </row>
    <row r="6" spans="1:5" x14ac:dyDescent="0.25">
      <c r="A6">
        <v>5</v>
      </c>
      <c r="B6" s="3">
        <v>44969</v>
      </c>
      <c r="C6" t="s">
        <v>13</v>
      </c>
      <c r="D6" t="s">
        <v>14</v>
      </c>
      <c r="E6">
        <v>8</v>
      </c>
    </row>
    <row r="7" spans="1:5" x14ac:dyDescent="0.25">
      <c r="A7">
        <v>6</v>
      </c>
      <c r="B7" s="3">
        <v>44988</v>
      </c>
      <c r="C7" t="s">
        <v>15</v>
      </c>
      <c r="D7" t="s">
        <v>16</v>
      </c>
      <c r="E7">
        <v>6</v>
      </c>
    </row>
    <row r="8" spans="1:5" x14ac:dyDescent="0.25">
      <c r="A8">
        <v>7</v>
      </c>
      <c r="B8" s="3">
        <v>44995</v>
      </c>
      <c r="C8" t="s">
        <v>17</v>
      </c>
      <c r="D8" t="s">
        <v>18</v>
      </c>
      <c r="E8">
        <v>3</v>
      </c>
    </row>
    <row r="9" spans="1:5" x14ac:dyDescent="0.25">
      <c r="A9">
        <v>8</v>
      </c>
      <c r="B9" s="3">
        <v>45001</v>
      </c>
      <c r="C9" t="s">
        <v>19</v>
      </c>
      <c r="D9" t="s">
        <v>18</v>
      </c>
      <c r="E9">
        <v>3</v>
      </c>
    </row>
    <row r="10" spans="1:5" x14ac:dyDescent="0.25">
      <c r="A10">
        <v>9</v>
      </c>
      <c r="B10" s="3">
        <v>45033</v>
      </c>
      <c r="C10" t="s">
        <v>13</v>
      </c>
      <c r="D10" t="s">
        <v>14</v>
      </c>
      <c r="E10">
        <v>8</v>
      </c>
    </row>
    <row r="11" spans="1:5" x14ac:dyDescent="0.25">
      <c r="A11">
        <v>10</v>
      </c>
      <c r="B11" s="3">
        <v>45038</v>
      </c>
      <c r="C11" t="s">
        <v>20</v>
      </c>
      <c r="D11" t="s">
        <v>21</v>
      </c>
      <c r="E11">
        <v>4</v>
      </c>
    </row>
    <row r="12" spans="1:5" x14ac:dyDescent="0.25">
      <c r="A12">
        <v>11</v>
      </c>
      <c r="B12" s="3">
        <v>45042</v>
      </c>
      <c r="C12" t="s">
        <v>22</v>
      </c>
      <c r="D12" t="s">
        <v>16</v>
      </c>
      <c r="E12">
        <v>6</v>
      </c>
    </row>
    <row r="13" spans="1:5" x14ac:dyDescent="0.25">
      <c r="A13">
        <v>12</v>
      </c>
      <c r="B13" s="3">
        <v>45059</v>
      </c>
      <c r="C13" t="s">
        <v>11</v>
      </c>
      <c r="D13" t="s">
        <v>12</v>
      </c>
      <c r="E13">
        <v>9</v>
      </c>
    </row>
    <row r="14" spans="1:5" x14ac:dyDescent="0.25">
      <c r="A14">
        <v>13</v>
      </c>
      <c r="B14" s="3">
        <v>45068</v>
      </c>
      <c r="C14" t="s">
        <v>7</v>
      </c>
      <c r="D14" t="s">
        <v>8</v>
      </c>
      <c r="E14">
        <v>4</v>
      </c>
    </row>
    <row r="15" spans="1:5" x14ac:dyDescent="0.25">
      <c r="A15">
        <v>14</v>
      </c>
      <c r="B15" s="3">
        <v>45076</v>
      </c>
      <c r="C15" t="s">
        <v>9</v>
      </c>
      <c r="D15" t="s">
        <v>10</v>
      </c>
      <c r="E15">
        <v>8</v>
      </c>
    </row>
    <row r="16" spans="1:5" x14ac:dyDescent="0.25">
      <c r="A16">
        <v>15</v>
      </c>
      <c r="B16" s="3">
        <v>45086</v>
      </c>
      <c r="C16" t="s">
        <v>23</v>
      </c>
      <c r="D16" t="s">
        <v>6</v>
      </c>
      <c r="E16">
        <v>16</v>
      </c>
    </row>
    <row r="17" spans="1:5" x14ac:dyDescent="0.25">
      <c r="A17">
        <v>16</v>
      </c>
      <c r="B17" s="3">
        <v>45108</v>
      </c>
      <c r="C17" t="s">
        <v>17</v>
      </c>
      <c r="D17" t="s">
        <v>18</v>
      </c>
      <c r="E17">
        <v>6</v>
      </c>
    </row>
    <row r="18" spans="1:5" x14ac:dyDescent="0.25">
      <c r="A18">
        <v>17</v>
      </c>
      <c r="B18" s="3">
        <v>45113</v>
      </c>
      <c r="C18" t="s">
        <v>22</v>
      </c>
      <c r="D18" t="s">
        <v>16</v>
      </c>
      <c r="E18">
        <v>4</v>
      </c>
    </row>
    <row r="19" spans="1:5" x14ac:dyDescent="0.25">
      <c r="A19">
        <v>18</v>
      </c>
      <c r="B19" s="3">
        <v>45125</v>
      </c>
      <c r="C19" t="s">
        <v>15</v>
      </c>
      <c r="D19" t="s">
        <v>16</v>
      </c>
      <c r="E19">
        <v>6</v>
      </c>
    </row>
    <row r="20" spans="1:5" x14ac:dyDescent="0.25">
      <c r="A20">
        <v>19</v>
      </c>
      <c r="B20" s="3">
        <v>45130</v>
      </c>
      <c r="C20" t="s">
        <v>13</v>
      </c>
      <c r="D20" t="s">
        <v>14</v>
      </c>
      <c r="E20">
        <v>4</v>
      </c>
    </row>
    <row r="21" spans="1:5" x14ac:dyDescent="0.25">
      <c r="A21">
        <v>20</v>
      </c>
      <c r="B21" s="3">
        <v>45144</v>
      </c>
      <c r="C21" t="s">
        <v>23</v>
      </c>
      <c r="D21" t="s">
        <v>6</v>
      </c>
      <c r="E21">
        <v>16</v>
      </c>
    </row>
    <row r="22" spans="1:5" x14ac:dyDescent="0.25">
      <c r="A22">
        <v>21</v>
      </c>
      <c r="B22" s="3">
        <v>45148</v>
      </c>
      <c r="C22" t="s">
        <v>22</v>
      </c>
      <c r="D22" t="s">
        <v>16</v>
      </c>
      <c r="E22">
        <v>3</v>
      </c>
    </row>
    <row r="23" spans="1:5" x14ac:dyDescent="0.25">
      <c r="A23">
        <v>22</v>
      </c>
      <c r="B23" s="3">
        <v>45164</v>
      </c>
      <c r="C23" t="s">
        <v>20</v>
      </c>
      <c r="D23" t="s">
        <v>21</v>
      </c>
      <c r="E23">
        <v>4</v>
      </c>
    </row>
    <row r="24" spans="1:5" x14ac:dyDescent="0.25">
      <c r="A24">
        <v>23</v>
      </c>
      <c r="B24" s="3">
        <v>45177</v>
      </c>
      <c r="C24" t="s">
        <v>7</v>
      </c>
      <c r="D24" t="s">
        <v>8</v>
      </c>
      <c r="E24">
        <v>4</v>
      </c>
    </row>
    <row r="25" spans="1:5" x14ac:dyDescent="0.25">
      <c r="A25">
        <v>24</v>
      </c>
      <c r="B25" s="3">
        <v>45193</v>
      </c>
      <c r="C25" t="s">
        <v>19</v>
      </c>
      <c r="D25" t="s">
        <v>18</v>
      </c>
      <c r="E25">
        <v>4</v>
      </c>
    </row>
    <row r="26" spans="1:5" x14ac:dyDescent="0.25">
      <c r="A26">
        <v>25</v>
      </c>
      <c r="B26" s="3">
        <v>45213</v>
      </c>
      <c r="C26" t="s">
        <v>19</v>
      </c>
      <c r="D26" t="s">
        <v>18</v>
      </c>
      <c r="E26">
        <v>2</v>
      </c>
    </row>
    <row r="27" spans="1:5" x14ac:dyDescent="0.25">
      <c r="A27">
        <v>26</v>
      </c>
      <c r="B27" s="3">
        <v>45218</v>
      </c>
      <c r="C27" t="s">
        <v>9</v>
      </c>
      <c r="D27" t="s">
        <v>10</v>
      </c>
      <c r="E27">
        <v>4</v>
      </c>
    </row>
    <row r="28" spans="1:5" x14ac:dyDescent="0.25">
      <c r="A28">
        <v>27</v>
      </c>
      <c r="B28" s="3">
        <v>45220</v>
      </c>
      <c r="C28" t="s">
        <v>13</v>
      </c>
      <c r="D28" t="s">
        <v>14</v>
      </c>
      <c r="E28">
        <v>6</v>
      </c>
    </row>
    <row r="29" spans="1:5" x14ac:dyDescent="0.25">
      <c r="A29">
        <v>28</v>
      </c>
      <c r="B29" s="3">
        <v>45223</v>
      </c>
      <c r="C29" t="s">
        <v>11</v>
      </c>
      <c r="D29" t="s">
        <v>12</v>
      </c>
      <c r="E29">
        <v>4</v>
      </c>
    </row>
    <row r="30" spans="1:5" x14ac:dyDescent="0.25">
      <c r="A30">
        <v>29</v>
      </c>
      <c r="B30" s="3">
        <v>45237</v>
      </c>
      <c r="C30" t="s">
        <v>15</v>
      </c>
      <c r="D30" t="s">
        <v>16</v>
      </c>
      <c r="E30">
        <v>6</v>
      </c>
    </row>
    <row r="31" spans="1:5" x14ac:dyDescent="0.25">
      <c r="A31">
        <v>30</v>
      </c>
      <c r="B31" s="3">
        <v>45253</v>
      </c>
      <c r="C31" t="s">
        <v>20</v>
      </c>
      <c r="D31" t="s">
        <v>21</v>
      </c>
      <c r="E31">
        <v>4</v>
      </c>
    </row>
    <row r="32" spans="1:5" x14ac:dyDescent="0.25">
      <c r="A32">
        <v>31</v>
      </c>
      <c r="B32" s="3">
        <v>45263</v>
      </c>
      <c r="C32" t="s">
        <v>17</v>
      </c>
      <c r="D32" t="s">
        <v>18</v>
      </c>
      <c r="E32">
        <v>6</v>
      </c>
    </row>
    <row r="33" spans="1:5" x14ac:dyDescent="0.25">
      <c r="A33">
        <v>32</v>
      </c>
      <c r="B33" s="3">
        <v>45265</v>
      </c>
      <c r="C33" t="s">
        <v>13</v>
      </c>
      <c r="D33" t="s">
        <v>14</v>
      </c>
      <c r="E33">
        <v>4</v>
      </c>
    </row>
    <row r="34" spans="1:5" x14ac:dyDescent="0.25">
      <c r="A34">
        <v>33</v>
      </c>
      <c r="B34" s="3">
        <v>45270</v>
      </c>
      <c r="C34" t="s">
        <v>7</v>
      </c>
      <c r="D34" t="s">
        <v>8</v>
      </c>
      <c r="E34">
        <v>2</v>
      </c>
    </row>
    <row r="35" spans="1:5" x14ac:dyDescent="0.25">
      <c r="A35" s="4">
        <v>34</v>
      </c>
      <c r="B35" s="5">
        <v>45277</v>
      </c>
      <c r="C35" s="6" t="s">
        <v>11</v>
      </c>
      <c r="D35" s="6" t="s">
        <v>12</v>
      </c>
      <c r="E35" s="7">
        <v>4</v>
      </c>
    </row>
    <row r="36" spans="1:5" x14ac:dyDescent="0.25">
      <c r="A36">
        <v>35</v>
      </c>
      <c r="B36" s="3">
        <v>45153</v>
      </c>
      <c r="C36" t="s">
        <v>20</v>
      </c>
      <c r="D36" t="s">
        <v>14</v>
      </c>
      <c r="E36">
        <v>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9A4CA-5DBA-4CA3-8601-C217E077B926}">
  <sheetPr codeName="TraineeRecords">
    <tabColor rgb="FFE6325A"/>
  </sheetPr>
  <dimension ref="A1:I446"/>
  <sheetViews>
    <sheetView showGridLines="0" topLeftCell="A410" workbookViewId="0">
      <selection activeCell="D440" sqref="D440"/>
    </sheetView>
  </sheetViews>
  <sheetFormatPr defaultRowHeight="15" x14ac:dyDescent="0.25"/>
  <cols>
    <col min="1" max="1" width="6.5703125" customWidth="1"/>
    <col min="2" max="2" width="13.28515625" customWidth="1"/>
    <col min="3" max="3" width="10.140625" customWidth="1"/>
    <col min="4" max="4" width="19.85546875" customWidth="1"/>
    <col min="5" max="5" width="11.42578125" customWidth="1"/>
    <col min="6" max="7" width="16" customWidth="1"/>
    <col min="8" max="8" width="18.42578125" customWidth="1"/>
    <col min="9" max="9" width="19.140625" customWidth="1"/>
  </cols>
  <sheetData>
    <row r="1" spans="1:9" x14ac:dyDescent="0.25">
      <c r="A1" s="8" t="s">
        <v>24</v>
      </c>
      <c r="B1" s="1" t="s">
        <v>0</v>
      </c>
      <c r="C1" s="9" t="s">
        <v>1</v>
      </c>
      <c r="D1" s="2" t="s">
        <v>2</v>
      </c>
      <c r="E1" s="9" t="s">
        <v>3</v>
      </c>
      <c r="F1" s="10" t="s">
        <v>4</v>
      </c>
      <c r="G1" s="11" t="s">
        <v>25</v>
      </c>
      <c r="H1" s="12" t="s">
        <v>26</v>
      </c>
      <c r="I1" s="13" t="s">
        <v>27</v>
      </c>
    </row>
    <row r="2" spans="1:9" x14ac:dyDescent="0.25">
      <c r="A2">
        <v>1</v>
      </c>
      <c r="B2">
        <v>1</v>
      </c>
      <c r="C2" s="3">
        <v>44931</v>
      </c>
      <c r="D2" t="s">
        <v>5</v>
      </c>
      <c r="E2" t="s">
        <v>6</v>
      </c>
      <c r="F2">
        <v>6</v>
      </c>
      <c r="G2" t="s">
        <v>28</v>
      </c>
      <c r="H2" t="s">
        <v>29</v>
      </c>
      <c r="I2" t="s">
        <v>30</v>
      </c>
    </row>
    <row r="3" spans="1:9" x14ac:dyDescent="0.25">
      <c r="A3">
        <v>2</v>
      </c>
      <c r="B3">
        <v>1</v>
      </c>
      <c r="C3" s="3">
        <v>44931</v>
      </c>
      <c r="D3" t="s">
        <v>5</v>
      </c>
      <c r="E3" t="s">
        <v>6</v>
      </c>
      <c r="F3">
        <v>6</v>
      </c>
      <c r="G3" t="s">
        <v>31</v>
      </c>
      <c r="H3" t="s">
        <v>32</v>
      </c>
      <c r="I3" t="s">
        <v>33</v>
      </c>
    </row>
    <row r="4" spans="1:9" x14ac:dyDescent="0.25">
      <c r="A4">
        <v>3</v>
      </c>
      <c r="B4">
        <v>1</v>
      </c>
      <c r="C4" s="3">
        <v>44931</v>
      </c>
      <c r="D4" t="s">
        <v>5</v>
      </c>
      <c r="E4" t="s">
        <v>6</v>
      </c>
      <c r="F4">
        <v>6</v>
      </c>
      <c r="G4" t="s">
        <v>34</v>
      </c>
      <c r="H4" t="s">
        <v>35</v>
      </c>
      <c r="I4" t="s">
        <v>36</v>
      </c>
    </row>
    <row r="5" spans="1:9" x14ac:dyDescent="0.25">
      <c r="A5">
        <v>4</v>
      </c>
      <c r="B5">
        <v>1</v>
      </c>
      <c r="C5" s="3">
        <v>44931</v>
      </c>
      <c r="D5" t="s">
        <v>5</v>
      </c>
      <c r="E5" t="s">
        <v>6</v>
      </c>
      <c r="F5">
        <v>6</v>
      </c>
      <c r="G5" t="s">
        <v>37</v>
      </c>
      <c r="H5" t="s">
        <v>38</v>
      </c>
      <c r="I5" t="s">
        <v>30</v>
      </c>
    </row>
    <row r="6" spans="1:9" x14ac:dyDescent="0.25">
      <c r="A6">
        <v>5</v>
      </c>
      <c r="B6">
        <v>1</v>
      </c>
      <c r="C6" s="3">
        <v>44931</v>
      </c>
      <c r="D6" t="s">
        <v>5</v>
      </c>
      <c r="E6" t="s">
        <v>6</v>
      </c>
      <c r="F6">
        <v>6</v>
      </c>
      <c r="G6" t="s">
        <v>39</v>
      </c>
      <c r="H6" t="s">
        <v>40</v>
      </c>
      <c r="I6" t="s">
        <v>30</v>
      </c>
    </row>
    <row r="7" spans="1:9" x14ac:dyDescent="0.25">
      <c r="A7">
        <v>6</v>
      </c>
      <c r="B7">
        <v>1</v>
      </c>
      <c r="C7" s="3">
        <v>44931</v>
      </c>
      <c r="D7" t="s">
        <v>5</v>
      </c>
      <c r="E7" t="s">
        <v>6</v>
      </c>
      <c r="F7">
        <v>6</v>
      </c>
      <c r="G7" t="s">
        <v>41</v>
      </c>
      <c r="H7" t="s">
        <v>42</v>
      </c>
      <c r="I7" t="s">
        <v>43</v>
      </c>
    </row>
    <row r="8" spans="1:9" x14ac:dyDescent="0.25">
      <c r="A8">
        <v>7</v>
      </c>
      <c r="B8">
        <v>1</v>
      </c>
      <c r="C8" s="3">
        <v>44931</v>
      </c>
      <c r="D8" t="s">
        <v>5</v>
      </c>
      <c r="E8" t="s">
        <v>6</v>
      </c>
      <c r="F8">
        <v>6</v>
      </c>
      <c r="G8" t="s">
        <v>44</v>
      </c>
      <c r="H8" t="s">
        <v>45</v>
      </c>
      <c r="I8" t="s">
        <v>33</v>
      </c>
    </row>
    <row r="9" spans="1:9" x14ac:dyDescent="0.25">
      <c r="A9">
        <v>8</v>
      </c>
      <c r="B9">
        <v>1</v>
      </c>
      <c r="C9" s="3">
        <v>44931</v>
      </c>
      <c r="D9" t="s">
        <v>5</v>
      </c>
      <c r="E9" t="s">
        <v>6</v>
      </c>
      <c r="F9">
        <v>6</v>
      </c>
      <c r="G9" t="s">
        <v>46</v>
      </c>
      <c r="H9" t="s">
        <v>47</v>
      </c>
      <c r="I9" t="s">
        <v>30</v>
      </c>
    </row>
    <row r="10" spans="1:9" x14ac:dyDescent="0.25">
      <c r="A10">
        <v>9</v>
      </c>
      <c r="B10">
        <v>1</v>
      </c>
      <c r="C10" s="3">
        <v>44931</v>
      </c>
      <c r="D10" t="s">
        <v>5</v>
      </c>
      <c r="E10" t="s">
        <v>6</v>
      </c>
      <c r="F10">
        <v>6</v>
      </c>
      <c r="G10" t="s">
        <v>48</v>
      </c>
      <c r="H10" t="s">
        <v>49</v>
      </c>
      <c r="I10" t="s">
        <v>30</v>
      </c>
    </row>
    <row r="11" spans="1:9" x14ac:dyDescent="0.25">
      <c r="A11">
        <v>10</v>
      </c>
      <c r="B11">
        <v>1</v>
      </c>
      <c r="C11" s="3">
        <v>44931</v>
      </c>
      <c r="D11" t="s">
        <v>5</v>
      </c>
      <c r="E11" t="s">
        <v>6</v>
      </c>
      <c r="F11">
        <v>6</v>
      </c>
      <c r="G11" t="s">
        <v>50</v>
      </c>
      <c r="H11" t="s">
        <v>51</v>
      </c>
      <c r="I11" t="s">
        <v>30</v>
      </c>
    </row>
    <row r="12" spans="1:9" x14ac:dyDescent="0.25">
      <c r="A12">
        <v>11</v>
      </c>
      <c r="B12">
        <v>1</v>
      </c>
      <c r="C12" s="3">
        <v>44931</v>
      </c>
      <c r="D12" t="s">
        <v>5</v>
      </c>
      <c r="E12" t="s">
        <v>6</v>
      </c>
      <c r="F12">
        <v>6</v>
      </c>
      <c r="G12" t="s">
        <v>52</v>
      </c>
      <c r="H12" t="s">
        <v>53</v>
      </c>
      <c r="I12" t="s">
        <v>30</v>
      </c>
    </row>
    <row r="13" spans="1:9" x14ac:dyDescent="0.25">
      <c r="A13">
        <v>12</v>
      </c>
      <c r="B13">
        <v>1</v>
      </c>
      <c r="C13" s="3">
        <v>44931</v>
      </c>
      <c r="D13" t="s">
        <v>5</v>
      </c>
      <c r="E13" t="s">
        <v>6</v>
      </c>
      <c r="F13">
        <v>6</v>
      </c>
      <c r="G13" t="s">
        <v>54</v>
      </c>
      <c r="H13" t="s">
        <v>55</v>
      </c>
      <c r="I13" t="s">
        <v>30</v>
      </c>
    </row>
    <row r="14" spans="1:9" x14ac:dyDescent="0.25">
      <c r="A14">
        <v>13</v>
      </c>
      <c r="B14">
        <v>1</v>
      </c>
      <c r="C14" s="3">
        <v>44931</v>
      </c>
      <c r="D14" t="s">
        <v>5</v>
      </c>
      <c r="E14" t="s">
        <v>6</v>
      </c>
      <c r="F14">
        <v>6</v>
      </c>
      <c r="G14" t="s">
        <v>56</v>
      </c>
      <c r="H14" t="s">
        <v>57</v>
      </c>
      <c r="I14" t="s">
        <v>33</v>
      </c>
    </row>
    <row r="15" spans="1:9" x14ac:dyDescent="0.25">
      <c r="A15">
        <v>14</v>
      </c>
      <c r="B15">
        <v>1</v>
      </c>
      <c r="C15" s="3">
        <v>44931</v>
      </c>
      <c r="D15" t="s">
        <v>5</v>
      </c>
      <c r="E15" t="s">
        <v>6</v>
      </c>
      <c r="F15">
        <v>6</v>
      </c>
      <c r="G15" t="s">
        <v>58</v>
      </c>
      <c r="H15" t="s">
        <v>59</v>
      </c>
      <c r="I15" t="s">
        <v>36</v>
      </c>
    </row>
    <row r="16" spans="1:9" x14ac:dyDescent="0.25">
      <c r="A16">
        <v>15</v>
      </c>
      <c r="B16">
        <v>1</v>
      </c>
      <c r="C16" s="3">
        <v>44931</v>
      </c>
      <c r="D16" t="s">
        <v>5</v>
      </c>
      <c r="E16" t="s">
        <v>6</v>
      </c>
      <c r="F16">
        <v>6</v>
      </c>
      <c r="G16" t="s">
        <v>60</v>
      </c>
      <c r="H16" t="s">
        <v>61</v>
      </c>
      <c r="I16" t="s">
        <v>43</v>
      </c>
    </row>
    <row r="17" spans="1:9" x14ac:dyDescent="0.25">
      <c r="A17">
        <v>16</v>
      </c>
      <c r="B17">
        <v>1</v>
      </c>
      <c r="C17" s="3">
        <v>44931</v>
      </c>
      <c r="D17" t="s">
        <v>5</v>
      </c>
      <c r="E17" t="s">
        <v>6</v>
      </c>
      <c r="F17">
        <v>6</v>
      </c>
      <c r="G17" t="s">
        <v>62</v>
      </c>
      <c r="H17" t="s">
        <v>63</v>
      </c>
      <c r="I17" t="s">
        <v>36</v>
      </c>
    </row>
    <row r="18" spans="1:9" x14ac:dyDescent="0.25">
      <c r="A18">
        <v>17</v>
      </c>
      <c r="B18">
        <v>2</v>
      </c>
      <c r="C18" s="3">
        <v>44937</v>
      </c>
      <c r="D18" t="s">
        <v>7</v>
      </c>
      <c r="E18" t="s">
        <v>8</v>
      </c>
      <c r="F18">
        <v>4</v>
      </c>
      <c r="G18" t="s">
        <v>64</v>
      </c>
      <c r="H18" t="s">
        <v>65</v>
      </c>
      <c r="I18" t="s">
        <v>30</v>
      </c>
    </row>
    <row r="19" spans="1:9" x14ac:dyDescent="0.25">
      <c r="A19">
        <v>18</v>
      </c>
      <c r="B19">
        <v>2</v>
      </c>
      <c r="C19" s="3">
        <v>44937</v>
      </c>
      <c r="D19" t="s">
        <v>7</v>
      </c>
      <c r="E19" t="s">
        <v>8</v>
      </c>
      <c r="F19">
        <v>4</v>
      </c>
      <c r="G19" t="s">
        <v>34</v>
      </c>
      <c r="H19" t="s">
        <v>35</v>
      </c>
      <c r="I19" t="s">
        <v>36</v>
      </c>
    </row>
    <row r="20" spans="1:9" x14ac:dyDescent="0.25">
      <c r="A20">
        <v>19</v>
      </c>
      <c r="B20">
        <v>2</v>
      </c>
      <c r="C20" s="3">
        <v>44937</v>
      </c>
      <c r="D20" t="s">
        <v>7</v>
      </c>
      <c r="E20" t="s">
        <v>8</v>
      </c>
      <c r="F20">
        <v>4</v>
      </c>
      <c r="G20" t="s">
        <v>66</v>
      </c>
      <c r="H20" t="s">
        <v>67</v>
      </c>
      <c r="I20" t="s">
        <v>30</v>
      </c>
    </row>
    <row r="21" spans="1:9" x14ac:dyDescent="0.25">
      <c r="A21">
        <v>20</v>
      </c>
      <c r="B21">
        <v>2</v>
      </c>
      <c r="C21" s="3">
        <v>44937</v>
      </c>
      <c r="D21" t="s">
        <v>7</v>
      </c>
      <c r="E21" t="s">
        <v>8</v>
      </c>
      <c r="F21">
        <v>4</v>
      </c>
      <c r="G21" t="s">
        <v>68</v>
      </c>
      <c r="H21" t="s">
        <v>69</v>
      </c>
      <c r="I21" t="s">
        <v>36</v>
      </c>
    </row>
    <row r="22" spans="1:9" x14ac:dyDescent="0.25">
      <c r="A22">
        <v>21</v>
      </c>
      <c r="B22">
        <v>2</v>
      </c>
      <c r="C22" s="3">
        <v>44937</v>
      </c>
      <c r="D22" t="s">
        <v>7</v>
      </c>
      <c r="E22" t="s">
        <v>8</v>
      </c>
      <c r="F22">
        <v>4</v>
      </c>
      <c r="G22" t="s">
        <v>70</v>
      </c>
      <c r="H22" t="s">
        <v>71</v>
      </c>
      <c r="I22" t="s">
        <v>36</v>
      </c>
    </row>
    <row r="23" spans="1:9" x14ac:dyDescent="0.25">
      <c r="A23">
        <v>22</v>
      </c>
      <c r="B23">
        <v>2</v>
      </c>
      <c r="C23" s="3">
        <v>44937</v>
      </c>
      <c r="D23" t="s">
        <v>7</v>
      </c>
      <c r="E23" t="s">
        <v>8</v>
      </c>
      <c r="F23">
        <v>4</v>
      </c>
      <c r="G23" t="s">
        <v>52</v>
      </c>
      <c r="H23" t="s">
        <v>53</v>
      </c>
      <c r="I23" t="s">
        <v>30</v>
      </c>
    </row>
    <row r="24" spans="1:9" x14ac:dyDescent="0.25">
      <c r="A24">
        <v>23</v>
      </c>
      <c r="B24">
        <v>2</v>
      </c>
      <c r="C24" s="3">
        <v>44937</v>
      </c>
      <c r="D24" t="s">
        <v>7</v>
      </c>
      <c r="E24" t="s">
        <v>8</v>
      </c>
      <c r="F24">
        <v>4</v>
      </c>
      <c r="G24" t="s">
        <v>72</v>
      </c>
      <c r="H24" t="s">
        <v>73</v>
      </c>
      <c r="I24" t="s">
        <v>43</v>
      </c>
    </row>
    <row r="25" spans="1:9" x14ac:dyDescent="0.25">
      <c r="A25">
        <v>24</v>
      </c>
      <c r="B25">
        <v>2</v>
      </c>
      <c r="C25" s="3">
        <v>44937</v>
      </c>
      <c r="D25" t="s">
        <v>7</v>
      </c>
      <c r="E25" t="s">
        <v>8</v>
      </c>
      <c r="F25">
        <v>4</v>
      </c>
      <c r="G25" t="s">
        <v>58</v>
      </c>
      <c r="H25" t="s">
        <v>59</v>
      </c>
      <c r="I25" t="s">
        <v>36</v>
      </c>
    </row>
    <row r="26" spans="1:9" x14ac:dyDescent="0.25">
      <c r="A26">
        <v>25</v>
      </c>
      <c r="B26">
        <v>2</v>
      </c>
      <c r="C26" s="3">
        <v>44937</v>
      </c>
      <c r="D26" t="s">
        <v>7</v>
      </c>
      <c r="E26" t="s">
        <v>8</v>
      </c>
      <c r="F26">
        <v>4</v>
      </c>
      <c r="G26" t="s">
        <v>74</v>
      </c>
      <c r="H26" t="s">
        <v>75</v>
      </c>
      <c r="I26" t="s">
        <v>36</v>
      </c>
    </row>
    <row r="27" spans="1:9" x14ac:dyDescent="0.25">
      <c r="A27">
        <v>26</v>
      </c>
      <c r="B27">
        <v>2</v>
      </c>
      <c r="C27" s="3">
        <v>44937</v>
      </c>
      <c r="D27" t="s">
        <v>7</v>
      </c>
      <c r="E27" t="s">
        <v>8</v>
      </c>
      <c r="F27">
        <v>4</v>
      </c>
      <c r="G27" t="s">
        <v>76</v>
      </c>
      <c r="H27" t="s">
        <v>77</v>
      </c>
      <c r="I27" t="s">
        <v>36</v>
      </c>
    </row>
    <row r="28" spans="1:9" x14ac:dyDescent="0.25">
      <c r="A28">
        <v>27</v>
      </c>
      <c r="B28">
        <v>3</v>
      </c>
      <c r="C28" s="3">
        <v>44948</v>
      </c>
      <c r="D28" t="s">
        <v>9</v>
      </c>
      <c r="E28" t="s">
        <v>10</v>
      </c>
      <c r="F28">
        <v>3</v>
      </c>
      <c r="G28" t="s">
        <v>31</v>
      </c>
      <c r="H28" t="s">
        <v>32</v>
      </c>
      <c r="I28" t="s">
        <v>33</v>
      </c>
    </row>
    <row r="29" spans="1:9" x14ac:dyDescent="0.25">
      <c r="A29">
        <v>28</v>
      </c>
      <c r="B29">
        <v>3</v>
      </c>
      <c r="C29" s="3">
        <v>44948</v>
      </c>
      <c r="D29" t="s">
        <v>9</v>
      </c>
      <c r="E29" t="s">
        <v>10</v>
      </c>
      <c r="F29">
        <v>3</v>
      </c>
      <c r="G29" t="s">
        <v>78</v>
      </c>
      <c r="H29" t="s">
        <v>79</v>
      </c>
      <c r="I29" t="s">
        <v>80</v>
      </c>
    </row>
    <row r="30" spans="1:9" x14ac:dyDescent="0.25">
      <c r="A30">
        <v>29</v>
      </c>
      <c r="B30">
        <v>3</v>
      </c>
      <c r="C30" s="3">
        <v>44948</v>
      </c>
      <c r="D30" t="s">
        <v>9</v>
      </c>
      <c r="E30" t="s">
        <v>10</v>
      </c>
      <c r="F30">
        <v>3</v>
      </c>
      <c r="G30" t="s">
        <v>81</v>
      </c>
      <c r="H30" t="s">
        <v>82</v>
      </c>
      <c r="I30" t="s">
        <v>80</v>
      </c>
    </row>
    <row r="31" spans="1:9" x14ac:dyDescent="0.25">
      <c r="A31">
        <v>30</v>
      </c>
      <c r="B31">
        <v>3</v>
      </c>
      <c r="C31" s="3">
        <v>44948</v>
      </c>
      <c r="D31" t="s">
        <v>9</v>
      </c>
      <c r="E31" t="s">
        <v>10</v>
      </c>
      <c r="F31">
        <v>3</v>
      </c>
      <c r="G31" t="s">
        <v>83</v>
      </c>
      <c r="H31" t="s">
        <v>84</v>
      </c>
      <c r="I31" t="s">
        <v>80</v>
      </c>
    </row>
    <row r="32" spans="1:9" x14ac:dyDescent="0.25">
      <c r="A32">
        <v>31</v>
      </c>
      <c r="B32">
        <v>3</v>
      </c>
      <c r="C32" s="3">
        <v>44948</v>
      </c>
      <c r="D32" t="s">
        <v>9</v>
      </c>
      <c r="E32" t="s">
        <v>10</v>
      </c>
      <c r="F32">
        <v>3</v>
      </c>
      <c r="G32" t="s">
        <v>85</v>
      </c>
      <c r="H32" t="s">
        <v>86</v>
      </c>
      <c r="I32" t="s">
        <v>80</v>
      </c>
    </row>
    <row r="33" spans="1:9" x14ac:dyDescent="0.25">
      <c r="A33">
        <v>32</v>
      </c>
      <c r="B33">
        <v>3</v>
      </c>
      <c r="C33" s="3">
        <v>44948</v>
      </c>
      <c r="D33" t="s">
        <v>9</v>
      </c>
      <c r="E33" t="s">
        <v>10</v>
      </c>
      <c r="F33">
        <v>3</v>
      </c>
      <c r="G33" t="s">
        <v>87</v>
      </c>
      <c r="H33" t="s">
        <v>88</v>
      </c>
      <c r="I33" t="s">
        <v>80</v>
      </c>
    </row>
    <row r="34" spans="1:9" x14ac:dyDescent="0.25">
      <c r="A34">
        <v>33</v>
      </c>
      <c r="B34">
        <v>3</v>
      </c>
      <c r="C34" s="3">
        <v>44948</v>
      </c>
      <c r="D34" t="s">
        <v>9</v>
      </c>
      <c r="E34" t="s">
        <v>10</v>
      </c>
      <c r="F34">
        <v>3</v>
      </c>
      <c r="G34" t="s">
        <v>89</v>
      </c>
      <c r="H34" t="s">
        <v>90</v>
      </c>
      <c r="I34" t="s">
        <v>80</v>
      </c>
    </row>
    <row r="35" spans="1:9" x14ac:dyDescent="0.25">
      <c r="A35">
        <v>34</v>
      </c>
      <c r="B35">
        <v>3</v>
      </c>
      <c r="C35" s="3">
        <v>44948</v>
      </c>
      <c r="D35" t="s">
        <v>9</v>
      </c>
      <c r="E35" t="s">
        <v>10</v>
      </c>
      <c r="F35">
        <v>3</v>
      </c>
      <c r="G35" t="s">
        <v>91</v>
      </c>
      <c r="H35" t="s">
        <v>92</v>
      </c>
      <c r="I35" t="s">
        <v>80</v>
      </c>
    </row>
    <row r="36" spans="1:9" x14ac:dyDescent="0.25">
      <c r="A36">
        <v>35</v>
      </c>
      <c r="B36">
        <v>3</v>
      </c>
      <c r="C36" s="3">
        <v>44948</v>
      </c>
      <c r="D36" t="s">
        <v>9</v>
      </c>
      <c r="E36" t="s">
        <v>10</v>
      </c>
      <c r="F36">
        <v>3</v>
      </c>
      <c r="G36" t="s">
        <v>93</v>
      </c>
      <c r="H36" t="s">
        <v>94</v>
      </c>
      <c r="I36" t="s">
        <v>80</v>
      </c>
    </row>
    <row r="37" spans="1:9" x14ac:dyDescent="0.25">
      <c r="A37">
        <v>36</v>
      </c>
      <c r="B37">
        <v>4</v>
      </c>
      <c r="C37" s="3">
        <v>44959</v>
      </c>
      <c r="D37" t="s">
        <v>11</v>
      </c>
      <c r="E37" t="s">
        <v>12</v>
      </c>
      <c r="F37">
        <v>5</v>
      </c>
      <c r="G37" t="s">
        <v>95</v>
      </c>
      <c r="H37" t="s">
        <v>96</v>
      </c>
      <c r="I37" t="s">
        <v>97</v>
      </c>
    </row>
    <row r="38" spans="1:9" x14ac:dyDescent="0.25">
      <c r="A38">
        <v>37</v>
      </c>
      <c r="B38">
        <v>4</v>
      </c>
      <c r="C38" s="3">
        <v>44959</v>
      </c>
      <c r="D38" t="s">
        <v>11</v>
      </c>
      <c r="E38" t="s">
        <v>12</v>
      </c>
      <c r="F38">
        <v>5</v>
      </c>
      <c r="G38" t="s">
        <v>98</v>
      </c>
      <c r="H38" t="s">
        <v>99</v>
      </c>
      <c r="I38" t="s">
        <v>30</v>
      </c>
    </row>
    <row r="39" spans="1:9" x14ac:dyDescent="0.25">
      <c r="A39">
        <v>38</v>
      </c>
      <c r="B39">
        <v>4</v>
      </c>
      <c r="C39" s="3">
        <v>44959</v>
      </c>
      <c r="D39" t="s">
        <v>11</v>
      </c>
      <c r="E39" t="s">
        <v>12</v>
      </c>
      <c r="F39">
        <v>5</v>
      </c>
      <c r="G39" t="s">
        <v>78</v>
      </c>
      <c r="H39" t="s">
        <v>79</v>
      </c>
      <c r="I39" t="s">
        <v>80</v>
      </c>
    </row>
    <row r="40" spans="1:9" x14ac:dyDescent="0.25">
      <c r="A40">
        <v>39</v>
      </c>
      <c r="B40">
        <v>4</v>
      </c>
      <c r="C40" s="3">
        <v>44959</v>
      </c>
      <c r="D40" t="s">
        <v>11</v>
      </c>
      <c r="E40" t="s">
        <v>12</v>
      </c>
      <c r="F40">
        <v>5</v>
      </c>
      <c r="G40" t="s">
        <v>100</v>
      </c>
      <c r="H40" t="s">
        <v>101</v>
      </c>
      <c r="I40" t="s">
        <v>102</v>
      </c>
    </row>
    <row r="41" spans="1:9" x14ac:dyDescent="0.25">
      <c r="A41">
        <v>40</v>
      </c>
      <c r="B41">
        <v>4</v>
      </c>
      <c r="C41" s="3">
        <v>44959</v>
      </c>
      <c r="D41" t="s">
        <v>11</v>
      </c>
      <c r="E41" t="s">
        <v>12</v>
      </c>
      <c r="F41">
        <v>5</v>
      </c>
      <c r="G41" t="s">
        <v>103</v>
      </c>
      <c r="H41" t="s">
        <v>104</v>
      </c>
      <c r="I41" t="s">
        <v>36</v>
      </c>
    </row>
    <row r="42" spans="1:9" x14ac:dyDescent="0.25">
      <c r="A42">
        <v>41</v>
      </c>
      <c r="B42">
        <v>4</v>
      </c>
      <c r="C42" s="3">
        <v>44959</v>
      </c>
      <c r="D42" t="s">
        <v>11</v>
      </c>
      <c r="E42" t="s">
        <v>12</v>
      </c>
      <c r="F42">
        <v>5</v>
      </c>
      <c r="G42" t="s">
        <v>41</v>
      </c>
      <c r="H42" t="s">
        <v>42</v>
      </c>
      <c r="I42" t="s">
        <v>43</v>
      </c>
    </row>
    <row r="43" spans="1:9" x14ac:dyDescent="0.25">
      <c r="A43">
        <v>42</v>
      </c>
      <c r="B43">
        <v>4</v>
      </c>
      <c r="C43" s="3">
        <v>44959</v>
      </c>
      <c r="D43" t="s">
        <v>11</v>
      </c>
      <c r="E43" t="s">
        <v>12</v>
      </c>
      <c r="F43">
        <v>5</v>
      </c>
      <c r="G43" t="s">
        <v>105</v>
      </c>
      <c r="H43" t="s">
        <v>106</v>
      </c>
      <c r="I43" t="s">
        <v>30</v>
      </c>
    </row>
    <row r="44" spans="1:9" x14ac:dyDescent="0.25">
      <c r="A44">
        <v>43</v>
      </c>
      <c r="B44">
        <v>4</v>
      </c>
      <c r="C44" s="3">
        <v>44959</v>
      </c>
      <c r="D44" t="s">
        <v>11</v>
      </c>
      <c r="E44" t="s">
        <v>12</v>
      </c>
      <c r="F44">
        <v>5</v>
      </c>
      <c r="G44" t="s">
        <v>44</v>
      </c>
      <c r="H44" t="s">
        <v>45</v>
      </c>
      <c r="I44" t="s">
        <v>33</v>
      </c>
    </row>
    <row r="45" spans="1:9" x14ac:dyDescent="0.25">
      <c r="A45">
        <v>44</v>
      </c>
      <c r="B45">
        <v>4</v>
      </c>
      <c r="C45" s="3">
        <v>44959</v>
      </c>
      <c r="D45" t="s">
        <v>11</v>
      </c>
      <c r="E45" t="s">
        <v>12</v>
      </c>
      <c r="F45">
        <v>5</v>
      </c>
      <c r="G45" t="s">
        <v>81</v>
      </c>
      <c r="H45" t="s">
        <v>82</v>
      </c>
      <c r="I45" t="s">
        <v>80</v>
      </c>
    </row>
    <row r="46" spans="1:9" x14ac:dyDescent="0.25">
      <c r="A46">
        <v>45</v>
      </c>
      <c r="B46">
        <v>4</v>
      </c>
      <c r="C46" s="3">
        <v>44959</v>
      </c>
      <c r="D46" t="s">
        <v>11</v>
      </c>
      <c r="E46" t="s">
        <v>12</v>
      </c>
      <c r="F46">
        <v>5</v>
      </c>
      <c r="G46" t="s">
        <v>107</v>
      </c>
      <c r="H46" t="s">
        <v>108</v>
      </c>
      <c r="I46" t="s">
        <v>30</v>
      </c>
    </row>
    <row r="47" spans="1:9" x14ac:dyDescent="0.25">
      <c r="A47">
        <v>46</v>
      </c>
      <c r="B47">
        <v>4</v>
      </c>
      <c r="C47" s="3">
        <v>44959</v>
      </c>
      <c r="D47" t="s">
        <v>11</v>
      </c>
      <c r="E47" t="s">
        <v>12</v>
      </c>
      <c r="F47">
        <v>5</v>
      </c>
      <c r="G47" t="s">
        <v>109</v>
      </c>
      <c r="H47" t="s">
        <v>110</v>
      </c>
      <c r="I47" t="s">
        <v>97</v>
      </c>
    </row>
    <row r="48" spans="1:9" x14ac:dyDescent="0.25">
      <c r="A48">
        <v>47</v>
      </c>
      <c r="B48">
        <v>4</v>
      </c>
      <c r="C48" s="3">
        <v>44959</v>
      </c>
      <c r="D48" t="s">
        <v>11</v>
      </c>
      <c r="E48" t="s">
        <v>12</v>
      </c>
      <c r="F48">
        <v>5</v>
      </c>
      <c r="G48" t="s">
        <v>111</v>
      </c>
      <c r="H48" t="s">
        <v>112</v>
      </c>
      <c r="I48" t="s">
        <v>33</v>
      </c>
    </row>
    <row r="49" spans="1:9" x14ac:dyDescent="0.25">
      <c r="A49">
        <v>48</v>
      </c>
      <c r="B49">
        <v>4</v>
      </c>
      <c r="C49" s="3">
        <v>44959</v>
      </c>
      <c r="D49" t="s">
        <v>11</v>
      </c>
      <c r="E49" t="s">
        <v>12</v>
      </c>
      <c r="F49">
        <v>5</v>
      </c>
      <c r="G49" t="s">
        <v>113</v>
      </c>
      <c r="H49" t="s">
        <v>114</v>
      </c>
      <c r="I49" t="s">
        <v>36</v>
      </c>
    </row>
    <row r="50" spans="1:9" x14ac:dyDescent="0.25">
      <c r="A50">
        <v>49</v>
      </c>
      <c r="B50">
        <v>4</v>
      </c>
      <c r="C50" s="3">
        <v>44959</v>
      </c>
      <c r="D50" t="s">
        <v>11</v>
      </c>
      <c r="E50" t="s">
        <v>12</v>
      </c>
      <c r="F50">
        <v>5</v>
      </c>
      <c r="G50" t="s">
        <v>89</v>
      </c>
      <c r="H50" t="s">
        <v>90</v>
      </c>
      <c r="I50" t="s">
        <v>80</v>
      </c>
    </row>
    <row r="51" spans="1:9" x14ac:dyDescent="0.25">
      <c r="A51">
        <v>50</v>
      </c>
      <c r="B51">
        <v>4</v>
      </c>
      <c r="C51" s="3">
        <v>44959</v>
      </c>
      <c r="D51" t="s">
        <v>11</v>
      </c>
      <c r="E51" t="s">
        <v>12</v>
      </c>
      <c r="F51">
        <v>5</v>
      </c>
      <c r="G51" t="s">
        <v>115</v>
      </c>
      <c r="H51" t="s">
        <v>116</v>
      </c>
      <c r="I51" t="s">
        <v>36</v>
      </c>
    </row>
    <row r="52" spans="1:9" x14ac:dyDescent="0.25">
      <c r="A52">
        <v>51</v>
      </c>
      <c r="B52">
        <v>5</v>
      </c>
      <c r="C52" s="3">
        <v>44969</v>
      </c>
      <c r="D52" t="s">
        <v>13</v>
      </c>
      <c r="E52" t="s">
        <v>14</v>
      </c>
      <c r="F52">
        <v>8</v>
      </c>
      <c r="G52" t="s">
        <v>117</v>
      </c>
      <c r="H52" t="s">
        <v>118</v>
      </c>
      <c r="I52" t="s">
        <v>119</v>
      </c>
    </row>
    <row r="53" spans="1:9" x14ac:dyDescent="0.25">
      <c r="A53">
        <v>52</v>
      </c>
      <c r="B53">
        <v>5</v>
      </c>
      <c r="C53" s="3">
        <v>44969</v>
      </c>
      <c r="D53" t="s">
        <v>13</v>
      </c>
      <c r="E53" t="s">
        <v>14</v>
      </c>
      <c r="F53">
        <v>8</v>
      </c>
      <c r="G53" t="s">
        <v>120</v>
      </c>
      <c r="H53" t="s">
        <v>121</v>
      </c>
      <c r="I53" t="s">
        <v>122</v>
      </c>
    </row>
    <row r="54" spans="1:9" x14ac:dyDescent="0.25">
      <c r="A54">
        <v>53</v>
      </c>
      <c r="B54">
        <v>5</v>
      </c>
      <c r="C54" s="3">
        <v>44969</v>
      </c>
      <c r="D54" t="s">
        <v>13</v>
      </c>
      <c r="E54" t="s">
        <v>14</v>
      </c>
      <c r="F54">
        <v>8</v>
      </c>
      <c r="G54" t="s">
        <v>34</v>
      </c>
      <c r="H54" t="s">
        <v>35</v>
      </c>
      <c r="I54" t="s">
        <v>36</v>
      </c>
    </row>
    <row r="55" spans="1:9" x14ac:dyDescent="0.25">
      <c r="A55">
        <v>54</v>
      </c>
      <c r="B55">
        <v>5</v>
      </c>
      <c r="C55" s="3">
        <v>44969</v>
      </c>
      <c r="D55" t="s">
        <v>13</v>
      </c>
      <c r="E55" t="s">
        <v>14</v>
      </c>
      <c r="F55">
        <v>8</v>
      </c>
      <c r="G55" t="s">
        <v>123</v>
      </c>
      <c r="H55" t="s">
        <v>124</v>
      </c>
      <c r="I55" t="s">
        <v>102</v>
      </c>
    </row>
    <row r="56" spans="1:9" x14ac:dyDescent="0.25">
      <c r="A56">
        <v>55</v>
      </c>
      <c r="B56">
        <v>5</v>
      </c>
      <c r="C56" s="3">
        <v>44969</v>
      </c>
      <c r="D56" t="s">
        <v>13</v>
      </c>
      <c r="E56" t="s">
        <v>14</v>
      </c>
      <c r="F56">
        <v>8</v>
      </c>
      <c r="G56" t="s">
        <v>125</v>
      </c>
      <c r="H56" t="s">
        <v>126</v>
      </c>
      <c r="I56" t="s">
        <v>97</v>
      </c>
    </row>
    <row r="57" spans="1:9" x14ac:dyDescent="0.25">
      <c r="A57">
        <v>56</v>
      </c>
      <c r="B57">
        <v>5</v>
      </c>
      <c r="C57" s="3">
        <v>44969</v>
      </c>
      <c r="D57" t="s">
        <v>13</v>
      </c>
      <c r="E57" t="s">
        <v>14</v>
      </c>
      <c r="F57">
        <v>8</v>
      </c>
      <c r="G57" t="s">
        <v>127</v>
      </c>
      <c r="H57" t="s">
        <v>128</v>
      </c>
      <c r="I57" t="s">
        <v>30</v>
      </c>
    </row>
    <row r="58" spans="1:9" x14ac:dyDescent="0.25">
      <c r="A58">
        <v>57</v>
      </c>
      <c r="B58">
        <v>5</v>
      </c>
      <c r="C58" s="3">
        <v>44969</v>
      </c>
      <c r="D58" t="s">
        <v>13</v>
      </c>
      <c r="E58" t="s">
        <v>14</v>
      </c>
      <c r="F58">
        <v>8</v>
      </c>
      <c r="G58" t="s">
        <v>129</v>
      </c>
      <c r="H58" t="s">
        <v>130</v>
      </c>
      <c r="I58" t="s">
        <v>102</v>
      </c>
    </row>
    <row r="59" spans="1:9" x14ac:dyDescent="0.25">
      <c r="A59">
        <v>58</v>
      </c>
      <c r="B59">
        <v>5</v>
      </c>
      <c r="C59" s="3">
        <v>44969</v>
      </c>
      <c r="D59" t="s">
        <v>13</v>
      </c>
      <c r="E59" t="s">
        <v>14</v>
      </c>
      <c r="F59">
        <v>8</v>
      </c>
      <c r="G59" t="s">
        <v>83</v>
      </c>
      <c r="H59" t="s">
        <v>84</v>
      </c>
      <c r="I59" t="s">
        <v>80</v>
      </c>
    </row>
    <row r="60" spans="1:9" x14ac:dyDescent="0.25">
      <c r="A60">
        <v>59</v>
      </c>
      <c r="B60">
        <v>5</v>
      </c>
      <c r="C60" s="3">
        <v>44969</v>
      </c>
      <c r="D60" t="s">
        <v>13</v>
      </c>
      <c r="E60" t="s">
        <v>14</v>
      </c>
      <c r="F60">
        <v>8</v>
      </c>
      <c r="G60" t="s">
        <v>131</v>
      </c>
      <c r="H60" t="s">
        <v>132</v>
      </c>
      <c r="I60" t="s">
        <v>33</v>
      </c>
    </row>
    <row r="61" spans="1:9" x14ac:dyDescent="0.25">
      <c r="A61">
        <v>60</v>
      </c>
      <c r="B61">
        <v>5</v>
      </c>
      <c r="C61" s="3">
        <v>44969</v>
      </c>
      <c r="D61" t="s">
        <v>13</v>
      </c>
      <c r="E61" t="s">
        <v>14</v>
      </c>
      <c r="F61">
        <v>8</v>
      </c>
      <c r="G61" t="s">
        <v>133</v>
      </c>
      <c r="H61" t="s">
        <v>134</v>
      </c>
      <c r="I61" t="s">
        <v>122</v>
      </c>
    </row>
    <row r="62" spans="1:9" x14ac:dyDescent="0.25">
      <c r="A62">
        <v>61</v>
      </c>
      <c r="B62">
        <v>5</v>
      </c>
      <c r="C62" s="3">
        <v>44969</v>
      </c>
      <c r="D62" t="s">
        <v>13</v>
      </c>
      <c r="E62" t="s">
        <v>14</v>
      </c>
      <c r="F62">
        <v>8</v>
      </c>
      <c r="G62" t="s">
        <v>60</v>
      </c>
      <c r="H62" t="s">
        <v>61</v>
      </c>
      <c r="I62" t="s">
        <v>43</v>
      </c>
    </row>
    <row r="63" spans="1:9" x14ac:dyDescent="0.25">
      <c r="A63">
        <v>62</v>
      </c>
      <c r="B63">
        <v>5</v>
      </c>
      <c r="C63" s="3">
        <v>44969</v>
      </c>
      <c r="D63" t="s">
        <v>13</v>
      </c>
      <c r="E63" t="s">
        <v>14</v>
      </c>
      <c r="F63">
        <v>8</v>
      </c>
      <c r="G63" t="s">
        <v>135</v>
      </c>
      <c r="H63" t="s">
        <v>136</v>
      </c>
      <c r="I63" t="s">
        <v>33</v>
      </c>
    </row>
    <row r="64" spans="1:9" x14ac:dyDescent="0.25">
      <c r="A64">
        <v>63</v>
      </c>
      <c r="B64">
        <v>5</v>
      </c>
      <c r="C64" s="3">
        <v>44969</v>
      </c>
      <c r="D64" t="s">
        <v>13</v>
      </c>
      <c r="E64" t="s">
        <v>14</v>
      </c>
      <c r="F64">
        <v>8</v>
      </c>
      <c r="G64" t="s">
        <v>137</v>
      </c>
      <c r="H64" t="s">
        <v>138</v>
      </c>
      <c r="I64" t="s">
        <v>43</v>
      </c>
    </row>
    <row r="65" spans="1:9" x14ac:dyDescent="0.25">
      <c r="A65">
        <v>64</v>
      </c>
      <c r="B65">
        <v>5</v>
      </c>
      <c r="C65" s="3">
        <v>44969</v>
      </c>
      <c r="D65" t="s">
        <v>13</v>
      </c>
      <c r="E65" t="s">
        <v>14</v>
      </c>
      <c r="F65">
        <v>8</v>
      </c>
      <c r="G65" t="s">
        <v>139</v>
      </c>
      <c r="H65" t="s">
        <v>140</v>
      </c>
      <c r="I65" t="s">
        <v>36</v>
      </c>
    </row>
    <row r="66" spans="1:9" x14ac:dyDescent="0.25">
      <c r="A66">
        <v>65</v>
      </c>
      <c r="B66">
        <v>5</v>
      </c>
      <c r="C66" s="3">
        <v>44969</v>
      </c>
      <c r="D66" t="s">
        <v>13</v>
      </c>
      <c r="E66" t="s">
        <v>14</v>
      </c>
      <c r="F66">
        <v>8</v>
      </c>
      <c r="G66" t="s">
        <v>141</v>
      </c>
      <c r="H66" t="s">
        <v>142</v>
      </c>
      <c r="I66" t="s">
        <v>122</v>
      </c>
    </row>
    <row r="67" spans="1:9" x14ac:dyDescent="0.25">
      <c r="A67">
        <v>66</v>
      </c>
      <c r="B67">
        <v>6</v>
      </c>
      <c r="C67" s="3">
        <v>44988</v>
      </c>
      <c r="D67" t="s">
        <v>15</v>
      </c>
      <c r="E67" t="s">
        <v>16</v>
      </c>
      <c r="F67">
        <v>6</v>
      </c>
      <c r="G67" t="s">
        <v>98</v>
      </c>
      <c r="H67" t="s">
        <v>99</v>
      </c>
      <c r="I67" t="s">
        <v>30</v>
      </c>
    </row>
    <row r="68" spans="1:9" x14ac:dyDescent="0.25">
      <c r="A68">
        <v>67</v>
      </c>
      <c r="B68">
        <v>6</v>
      </c>
      <c r="C68" s="3">
        <v>44988</v>
      </c>
      <c r="D68" t="s">
        <v>15</v>
      </c>
      <c r="E68" t="s">
        <v>16</v>
      </c>
      <c r="F68">
        <v>6</v>
      </c>
      <c r="G68" t="s">
        <v>143</v>
      </c>
      <c r="H68" t="s">
        <v>144</v>
      </c>
      <c r="I68" t="s">
        <v>30</v>
      </c>
    </row>
    <row r="69" spans="1:9" x14ac:dyDescent="0.25">
      <c r="A69">
        <v>68</v>
      </c>
      <c r="B69">
        <v>6</v>
      </c>
      <c r="C69" s="3">
        <v>44988</v>
      </c>
      <c r="D69" t="s">
        <v>15</v>
      </c>
      <c r="E69" t="s">
        <v>16</v>
      </c>
      <c r="F69">
        <v>6</v>
      </c>
      <c r="G69" t="s">
        <v>39</v>
      </c>
      <c r="H69" t="s">
        <v>40</v>
      </c>
      <c r="I69" t="s">
        <v>30</v>
      </c>
    </row>
    <row r="70" spans="1:9" x14ac:dyDescent="0.25">
      <c r="A70">
        <v>69</v>
      </c>
      <c r="B70">
        <v>6</v>
      </c>
      <c r="C70" s="3">
        <v>44988</v>
      </c>
      <c r="D70" t="s">
        <v>15</v>
      </c>
      <c r="E70" t="s">
        <v>16</v>
      </c>
      <c r="F70">
        <v>6</v>
      </c>
      <c r="G70" t="s">
        <v>145</v>
      </c>
      <c r="H70" t="s">
        <v>146</v>
      </c>
      <c r="I70" t="s">
        <v>30</v>
      </c>
    </row>
    <row r="71" spans="1:9" x14ac:dyDescent="0.25">
      <c r="A71">
        <v>70</v>
      </c>
      <c r="B71">
        <v>6</v>
      </c>
      <c r="C71" s="3">
        <v>44988</v>
      </c>
      <c r="D71" t="s">
        <v>15</v>
      </c>
      <c r="E71" t="s">
        <v>16</v>
      </c>
      <c r="F71">
        <v>6</v>
      </c>
      <c r="G71" t="s">
        <v>147</v>
      </c>
      <c r="H71" t="s">
        <v>148</v>
      </c>
      <c r="I71" t="s">
        <v>30</v>
      </c>
    </row>
    <row r="72" spans="1:9" x14ac:dyDescent="0.25">
      <c r="A72">
        <v>71</v>
      </c>
      <c r="B72">
        <v>6</v>
      </c>
      <c r="C72" s="3">
        <v>44988</v>
      </c>
      <c r="D72" t="s">
        <v>15</v>
      </c>
      <c r="E72" t="s">
        <v>16</v>
      </c>
      <c r="F72">
        <v>6</v>
      </c>
      <c r="G72" t="s">
        <v>41</v>
      </c>
      <c r="H72" t="s">
        <v>42</v>
      </c>
      <c r="I72" t="s">
        <v>43</v>
      </c>
    </row>
    <row r="73" spans="1:9" x14ac:dyDescent="0.25">
      <c r="A73">
        <v>72</v>
      </c>
      <c r="B73">
        <v>6</v>
      </c>
      <c r="C73" s="3">
        <v>44988</v>
      </c>
      <c r="D73" t="s">
        <v>15</v>
      </c>
      <c r="E73" t="s">
        <v>16</v>
      </c>
      <c r="F73">
        <v>6</v>
      </c>
      <c r="G73" t="s">
        <v>149</v>
      </c>
      <c r="H73" t="s">
        <v>150</v>
      </c>
      <c r="I73" t="s">
        <v>33</v>
      </c>
    </row>
    <row r="74" spans="1:9" x14ac:dyDescent="0.25">
      <c r="A74">
        <v>73</v>
      </c>
      <c r="B74">
        <v>6</v>
      </c>
      <c r="C74" s="3">
        <v>44988</v>
      </c>
      <c r="D74" t="s">
        <v>15</v>
      </c>
      <c r="E74" t="s">
        <v>16</v>
      </c>
      <c r="F74">
        <v>6</v>
      </c>
      <c r="G74" t="s">
        <v>107</v>
      </c>
      <c r="H74" t="s">
        <v>108</v>
      </c>
      <c r="I74" t="s">
        <v>30</v>
      </c>
    </row>
    <row r="75" spans="1:9" x14ac:dyDescent="0.25">
      <c r="A75">
        <v>74</v>
      </c>
      <c r="B75">
        <v>6</v>
      </c>
      <c r="C75" s="3">
        <v>44988</v>
      </c>
      <c r="D75" t="s">
        <v>15</v>
      </c>
      <c r="E75" t="s">
        <v>16</v>
      </c>
      <c r="F75">
        <v>6</v>
      </c>
      <c r="G75" t="s">
        <v>54</v>
      </c>
      <c r="H75" t="s">
        <v>55</v>
      </c>
      <c r="I75" t="s">
        <v>30</v>
      </c>
    </row>
    <row r="76" spans="1:9" x14ac:dyDescent="0.25">
      <c r="A76">
        <v>75</v>
      </c>
      <c r="B76">
        <v>6</v>
      </c>
      <c r="C76" s="3">
        <v>44988</v>
      </c>
      <c r="D76" t="s">
        <v>15</v>
      </c>
      <c r="E76" t="s">
        <v>16</v>
      </c>
      <c r="F76">
        <v>6</v>
      </c>
      <c r="G76" t="s">
        <v>151</v>
      </c>
      <c r="H76" t="s">
        <v>152</v>
      </c>
      <c r="I76" t="s">
        <v>80</v>
      </c>
    </row>
    <row r="77" spans="1:9" x14ac:dyDescent="0.25">
      <c r="A77">
        <v>76</v>
      </c>
      <c r="B77">
        <v>6</v>
      </c>
      <c r="C77" s="3">
        <v>44988</v>
      </c>
      <c r="D77" t="s">
        <v>15</v>
      </c>
      <c r="E77" t="s">
        <v>16</v>
      </c>
      <c r="F77">
        <v>6</v>
      </c>
      <c r="G77" t="s">
        <v>74</v>
      </c>
      <c r="H77" t="s">
        <v>75</v>
      </c>
      <c r="I77" t="s">
        <v>36</v>
      </c>
    </row>
    <row r="78" spans="1:9" x14ac:dyDescent="0.25">
      <c r="A78">
        <v>77</v>
      </c>
      <c r="B78">
        <v>6</v>
      </c>
      <c r="C78" s="3">
        <v>44988</v>
      </c>
      <c r="D78" t="s">
        <v>15</v>
      </c>
      <c r="E78" t="s">
        <v>16</v>
      </c>
      <c r="F78">
        <v>6</v>
      </c>
      <c r="G78" t="s">
        <v>76</v>
      </c>
      <c r="H78" t="s">
        <v>77</v>
      </c>
      <c r="I78" t="s">
        <v>36</v>
      </c>
    </row>
    <row r="79" spans="1:9" x14ac:dyDescent="0.25">
      <c r="A79">
        <v>78</v>
      </c>
      <c r="B79">
        <v>6</v>
      </c>
      <c r="C79" s="3">
        <v>44988</v>
      </c>
      <c r="D79" t="s">
        <v>15</v>
      </c>
      <c r="E79" t="s">
        <v>16</v>
      </c>
      <c r="F79">
        <v>6</v>
      </c>
      <c r="G79" t="s">
        <v>137</v>
      </c>
      <c r="H79" t="s">
        <v>138</v>
      </c>
      <c r="I79" t="s">
        <v>43</v>
      </c>
    </row>
    <row r="80" spans="1:9" x14ac:dyDescent="0.25">
      <c r="A80">
        <v>79</v>
      </c>
      <c r="B80">
        <v>6</v>
      </c>
      <c r="C80" s="3">
        <v>44988</v>
      </c>
      <c r="D80" t="s">
        <v>15</v>
      </c>
      <c r="E80" t="s">
        <v>16</v>
      </c>
      <c r="F80">
        <v>6</v>
      </c>
      <c r="G80" t="s">
        <v>153</v>
      </c>
      <c r="H80" t="s">
        <v>154</v>
      </c>
      <c r="I80" t="s">
        <v>36</v>
      </c>
    </row>
    <row r="81" spans="1:9" x14ac:dyDescent="0.25">
      <c r="A81">
        <v>80</v>
      </c>
      <c r="B81">
        <v>6</v>
      </c>
      <c r="C81" s="3">
        <v>44988</v>
      </c>
      <c r="D81" t="s">
        <v>15</v>
      </c>
      <c r="E81" t="s">
        <v>16</v>
      </c>
      <c r="F81">
        <v>6</v>
      </c>
      <c r="G81" t="s">
        <v>155</v>
      </c>
      <c r="H81" t="s">
        <v>156</v>
      </c>
      <c r="I81" t="s">
        <v>80</v>
      </c>
    </row>
    <row r="82" spans="1:9" x14ac:dyDescent="0.25">
      <c r="A82">
        <v>81</v>
      </c>
      <c r="B82">
        <v>7</v>
      </c>
      <c r="C82" s="3">
        <v>44995</v>
      </c>
      <c r="D82" t="s">
        <v>17</v>
      </c>
      <c r="E82" t="s">
        <v>18</v>
      </c>
      <c r="F82">
        <v>3</v>
      </c>
      <c r="G82" t="s">
        <v>100</v>
      </c>
      <c r="H82" t="s">
        <v>101</v>
      </c>
      <c r="I82" t="s">
        <v>102</v>
      </c>
    </row>
    <row r="83" spans="1:9" x14ac:dyDescent="0.25">
      <c r="A83">
        <v>82</v>
      </c>
      <c r="B83">
        <v>7</v>
      </c>
      <c r="C83" s="3">
        <v>44995</v>
      </c>
      <c r="D83" t="s">
        <v>17</v>
      </c>
      <c r="E83" t="s">
        <v>18</v>
      </c>
      <c r="F83">
        <v>3</v>
      </c>
      <c r="G83" t="s">
        <v>157</v>
      </c>
      <c r="H83" t="s">
        <v>158</v>
      </c>
      <c r="I83" t="s">
        <v>102</v>
      </c>
    </row>
    <row r="84" spans="1:9" x14ac:dyDescent="0.25">
      <c r="A84">
        <v>83</v>
      </c>
      <c r="B84">
        <v>7</v>
      </c>
      <c r="C84" s="3">
        <v>44995</v>
      </c>
      <c r="D84" t="s">
        <v>17</v>
      </c>
      <c r="E84" t="s">
        <v>18</v>
      </c>
      <c r="F84">
        <v>3</v>
      </c>
      <c r="G84" t="s">
        <v>123</v>
      </c>
      <c r="H84" t="s">
        <v>124</v>
      </c>
      <c r="I84" t="s">
        <v>102</v>
      </c>
    </row>
    <row r="85" spans="1:9" x14ac:dyDescent="0.25">
      <c r="A85">
        <v>84</v>
      </c>
      <c r="B85">
        <v>7</v>
      </c>
      <c r="C85" s="3">
        <v>44995</v>
      </c>
      <c r="D85" t="s">
        <v>17</v>
      </c>
      <c r="E85" t="s">
        <v>18</v>
      </c>
      <c r="F85">
        <v>3</v>
      </c>
      <c r="G85" t="s">
        <v>41</v>
      </c>
      <c r="H85" t="s">
        <v>42</v>
      </c>
      <c r="I85" t="s">
        <v>43</v>
      </c>
    </row>
    <row r="86" spans="1:9" x14ac:dyDescent="0.25">
      <c r="A86">
        <v>85</v>
      </c>
      <c r="B86">
        <v>7</v>
      </c>
      <c r="C86" s="3">
        <v>44995</v>
      </c>
      <c r="D86" t="s">
        <v>17</v>
      </c>
      <c r="E86" t="s">
        <v>18</v>
      </c>
      <c r="F86">
        <v>3</v>
      </c>
      <c r="G86" t="s">
        <v>129</v>
      </c>
      <c r="H86" t="s">
        <v>130</v>
      </c>
      <c r="I86" t="s">
        <v>102</v>
      </c>
    </row>
    <row r="87" spans="1:9" x14ac:dyDescent="0.25">
      <c r="A87">
        <v>86</v>
      </c>
      <c r="B87">
        <v>7</v>
      </c>
      <c r="C87" s="3">
        <v>44995</v>
      </c>
      <c r="D87" t="s">
        <v>17</v>
      </c>
      <c r="E87" t="s">
        <v>18</v>
      </c>
      <c r="F87">
        <v>3</v>
      </c>
      <c r="G87" t="s">
        <v>72</v>
      </c>
      <c r="H87" t="s">
        <v>73</v>
      </c>
      <c r="I87" t="s">
        <v>43</v>
      </c>
    </row>
    <row r="88" spans="1:9" x14ac:dyDescent="0.25">
      <c r="A88">
        <v>87</v>
      </c>
      <c r="B88">
        <v>7</v>
      </c>
      <c r="C88" s="3">
        <v>44995</v>
      </c>
      <c r="D88" t="s">
        <v>17</v>
      </c>
      <c r="E88" t="s">
        <v>18</v>
      </c>
      <c r="F88">
        <v>3</v>
      </c>
      <c r="G88" t="s">
        <v>159</v>
      </c>
      <c r="H88" t="s">
        <v>160</v>
      </c>
      <c r="I88" t="s">
        <v>36</v>
      </c>
    </row>
    <row r="89" spans="1:9" x14ac:dyDescent="0.25">
      <c r="A89">
        <v>88</v>
      </c>
      <c r="B89">
        <v>8</v>
      </c>
      <c r="C89" s="3">
        <v>45001</v>
      </c>
      <c r="D89" t="s">
        <v>19</v>
      </c>
      <c r="E89" t="s">
        <v>18</v>
      </c>
      <c r="F89">
        <v>3</v>
      </c>
      <c r="G89" t="s">
        <v>100</v>
      </c>
      <c r="H89" t="s">
        <v>101</v>
      </c>
      <c r="I89" t="s">
        <v>102</v>
      </c>
    </row>
    <row r="90" spans="1:9" x14ac:dyDescent="0.25">
      <c r="A90">
        <v>89</v>
      </c>
      <c r="B90">
        <v>8</v>
      </c>
      <c r="C90" s="3">
        <v>45001</v>
      </c>
      <c r="D90" t="s">
        <v>19</v>
      </c>
      <c r="E90" t="s">
        <v>18</v>
      </c>
      <c r="F90">
        <v>3</v>
      </c>
      <c r="G90" t="s">
        <v>103</v>
      </c>
      <c r="H90" t="s">
        <v>104</v>
      </c>
      <c r="I90" t="s">
        <v>36</v>
      </c>
    </row>
    <row r="91" spans="1:9" x14ac:dyDescent="0.25">
      <c r="A91">
        <v>90</v>
      </c>
      <c r="B91">
        <v>8</v>
      </c>
      <c r="C91" s="3">
        <v>45001</v>
      </c>
      <c r="D91" t="s">
        <v>19</v>
      </c>
      <c r="E91" t="s">
        <v>18</v>
      </c>
      <c r="F91">
        <v>3</v>
      </c>
      <c r="G91" t="s">
        <v>161</v>
      </c>
      <c r="H91" t="s">
        <v>162</v>
      </c>
      <c r="I91" t="s">
        <v>30</v>
      </c>
    </row>
    <row r="92" spans="1:9" x14ac:dyDescent="0.25">
      <c r="A92">
        <v>91</v>
      </c>
      <c r="B92">
        <v>8</v>
      </c>
      <c r="C92" s="3">
        <v>45001</v>
      </c>
      <c r="D92" t="s">
        <v>19</v>
      </c>
      <c r="E92" t="s">
        <v>18</v>
      </c>
      <c r="F92">
        <v>3</v>
      </c>
      <c r="G92" t="s">
        <v>44</v>
      </c>
      <c r="H92" t="s">
        <v>45</v>
      </c>
      <c r="I92" t="s">
        <v>33</v>
      </c>
    </row>
    <row r="93" spans="1:9" x14ac:dyDescent="0.25">
      <c r="A93">
        <v>92</v>
      </c>
      <c r="B93">
        <v>8</v>
      </c>
      <c r="C93" s="3">
        <v>45001</v>
      </c>
      <c r="D93" t="s">
        <v>19</v>
      </c>
      <c r="E93" t="s">
        <v>18</v>
      </c>
      <c r="F93">
        <v>3</v>
      </c>
      <c r="G93" t="s">
        <v>50</v>
      </c>
      <c r="H93" t="s">
        <v>51</v>
      </c>
      <c r="I93" t="s">
        <v>30</v>
      </c>
    </row>
    <row r="94" spans="1:9" x14ac:dyDescent="0.25">
      <c r="A94">
        <v>93</v>
      </c>
      <c r="B94">
        <v>8</v>
      </c>
      <c r="C94" s="3">
        <v>45001</v>
      </c>
      <c r="D94" t="s">
        <v>19</v>
      </c>
      <c r="E94" t="s">
        <v>18</v>
      </c>
      <c r="F94">
        <v>3</v>
      </c>
      <c r="G94" t="s">
        <v>163</v>
      </c>
      <c r="H94" t="s">
        <v>164</v>
      </c>
      <c r="I94" t="s">
        <v>102</v>
      </c>
    </row>
    <row r="95" spans="1:9" x14ac:dyDescent="0.25">
      <c r="A95">
        <v>94</v>
      </c>
      <c r="B95">
        <v>8</v>
      </c>
      <c r="C95" s="3">
        <v>45001</v>
      </c>
      <c r="D95" t="s">
        <v>19</v>
      </c>
      <c r="E95" t="s">
        <v>18</v>
      </c>
      <c r="F95">
        <v>3</v>
      </c>
      <c r="G95" t="s">
        <v>109</v>
      </c>
      <c r="H95" t="s">
        <v>110</v>
      </c>
      <c r="I95" t="s">
        <v>97</v>
      </c>
    </row>
    <row r="96" spans="1:9" x14ac:dyDescent="0.25">
      <c r="A96">
        <v>95</v>
      </c>
      <c r="B96">
        <v>8</v>
      </c>
      <c r="C96" s="3">
        <v>45001</v>
      </c>
      <c r="D96" t="s">
        <v>19</v>
      </c>
      <c r="E96" t="s">
        <v>18</v>
      </c>
      <c r="F96">
        <v>3</v>
      </c>
      <c r="G96" t="s">
        <v>165</v>
      </c>
      <c r="H96" t="s">
        <v>166</v>
      </c>
      <c r="I96" t="s">
        <v>43</v>
      </c>
    </row>
    <row r="97" spans="1:9" x14ac:dyDescent="0.25">
      <c r="A97">
        <v>96</v>
      </c>
      <c r="B97">
        <v>8</v>
      </c>
      <c r="C97" s="3">
        <v>45001</v>
      </c>
      <c r="D97" t="s">
        <v>19</v>
      </c>
      <c r="E97" t="s">
        <v>18</v>
      </c>
      <c r="F97">
        <v>3</v>
      </c>
      <c r="G97" t="s">
        <v>89</v>
      </c>
      <c r="H97" t="s">
        <v>90</v>
      </c>
      <c r="I97" t="s">
        <v>80</v>
      </c>
    </row>
    <row r="98" spans="1:9" x14ac:dyDescent="0.25">
      <c r="A98">
        <v>97</v>
      </c>
      <c r="B98">
        <v>8</v>
      </c>
      <c r="C98" s="3">
        <v>45001</v>
      </c>
      <c r="D98" t="s">
        <v>19</v>
      </c>
      <c r="E98" t="s">
        <v>18</v>
      </c>
      <c r="F98">
        <v>3</v>
      </c>
      <c r="G98" t="s">
        <v>167</v>
      </c>
      <c r="H98" t="s">
        <v>168</v>
      </c>
      <c r="I98" t="s">
        <v>122</v>
      </c>
    </row>
    <row r="99" spans="1:9" x14ac:dyDescent="0.25">
      <c r="A99">
        <v>98</v>
      </c>
      <c r="B99">
        <v>8</v>
      </c>
      <c r="C99" s="3">
        <v>45001</v>
      </c>
      <c r="D99" t="s">
        <v>19</v>
      </c>
      <c r="E99" t="s">
        <v>18</v>
      </c>
      <c r="F99">
        <v>3</v>
      </c>
      <c r="G99" t="s">
        <v>62</v>
      </c>
      <c r="H99" t="s">
        <v>63</v>
      </c>
      <c r="I99" t="s">
        <v>36</v>
      </c>
    </row>
    <row r="100" spans="1:9" x14ac:dyDescent="0.25">
      <c r="A100">
        <v>99</v>
      </c>
      <c r="B100">
        <v>8</v>
      </c>
      <c r="C100" s="3">
        <v>45001</v>
      </c>
      <c r="D100" t="s">
        <v>19</v>
      </c>
      <c r="E100" t="s">
        <v>18</v>
      </c>
      <c r="F100">
        <v>3</v>
      </c>
      <c r="G100" t="s">
        <v>169</v>
      </c>
      <c r="H100" t="s">
        <v>170</v>
      </c>
      <c r="I100" t="s">
        <v>122</v>
      </c>
    </row>
    <row r="101" spans="1:9" x14ac:dyDescent="0.25">
      <c r="A101">
        <v>100</v>
      </c>
      <c r="B101">
        <v>9</v>
      </c>
      <c r="C101" s="3">
        <v>45033</v>
      </c>
      <c r="D101" t="s">
        <v>13</v>
      </c>
      <c r="E101" t="s">
        <v>14</v>
      </c>
      <c r="F101">
        <v>8</v>
      </c>
      <c r="G101" t="s">
        <v>64</v>
      </c>
      <c r="H101" t="s">
        <v>65</v>
      </c>
      <c r="I101" t="s">
        <v>30</v>
      </c>
    </row>
    <row r="102" spans="1:9" x14ac:dyDescent="0.25">
      <c r="A102">
        <v>101</v>
      </c>
      <c r="B102">
        <v>9</v>
      </c>
      <c r="C102" s="3">
        <v>45033</v>
      </c>
      <c r="D102" t="s">
        <v>13</v>
      </c>
      <c r="E102" t="s">
        <v>14</v>
      </c>
      <c r="F102">
        <v>8</v>
      </c>
      <c r="G102" t="s">
        <v>171</v>
      </c>
      <c r="H102" t="s">
        <v>172</v>
      </c>
      <c r="I102" t="s">
        <v>30</v>
      </c>
    </row>
    <row r="103" spans="1:9" x14ac:dyDescent="0.25">
      <c r="A103">
        <v>102</v>
      </c>
      <c r="B103">
        <v>9</v>
      </c>
      <c r="C103" s="3">
        <v>45033</v>
      </c>
      <c r="D103" t="s">
        <v>13</v>
      </c>
      <c r="E103" t="s">
        <v>14</v>
      </c>
      <c r="F103">
        <v>8</v>
      </c>
      <c r="G103" t="s">
        <v>143</v>
      </c>
      <c r="H103" t="s">
        <v>144</v>
      </c>
      <c r="I103" t="s">
        <v>30</v>
      </c>
    </row>
    <row r="104" spans="1:9" x14ac:dyDescent="0.25">
      <c r="A104">
        <v>103</v>
      </c>
      <c r="B104">
        <v>9</v>
      </c>
      <c r="C104" s="3">
        <v>45033</v>
      </c>
      <c r="D104" t="s">
        <v>13</v>
      </c>
      <c r="E104" t="s">
        <v>14</v>
      </c>
      <c r="F104">
        <v>8</v>
      </c>
      <c r="G104" t="s">
        <v>39</v>
      </c>
      <c r="H104" t="s">
        <v>40</v>
      </c>
      <c r="I104" t="s">
        <v>30</v>
      </c>
    </row>
    <row r="105" spans="1:9" x14ac:dyDescent="0.25">
      <c r="A105">
        <v>104</v>
      </c>
      <c r="B105">
        <v>9</v>
      </c>
      <c r="C105" s="3">
        <v>45033</v>
      </c>
      <c r="D105" t="s">
        <v>13</v>
      </c>
      <c r="E105" t="s">
        <v>14</v>
      </c>
      <c r="F105">
        <v>8</v>
      </c>
      <c r="G105" t="s">
        <v>173</v>
      </c>
      <c r="H105" t="s">
        <v>174</v>
      </c>
      <c r="I105" t="s">
        <v>119</v>
      </c>
    </row>
    <row r="106" spans="1:9" x14ac:dyDescent="0.25">
      <c r="A106">
        <v>105</v>
      </c>
      <c r="B106">
        <v>9</v>
      </c>
      <c r="C106" s="3">
        <v>45033</v>
      </c>
      <c r="D106" t="s">
        <v>13</v>
      </c>
      <c r="E106" t="s">
        <v>14</v>
      </c>
      <c r="F106">
        <v>8</v>
      </c>
      <c r="G106" t="s">
        <v>107</v>
      </c>
      <c r="H106" t="s">
        <v>108</v>
      </c>
      <c r="I106" t="s">
        <v>30</v>
      </c>
    </row>
    <row r="107" spans="1:9" x14ac:dyDescent="0.25">
      <c r="A107">
        <v>106</v>
      </c>
      <c r="B107">
        <v>9</v>
      </c>
      <c r="C107" s="3">
        <v>45033</v>
      </c>
      <c r="D107" t="s">
        <v>13</v>
      </c>
      <c r="E107" t="s">
        <v>14</v>
      </c>
      <c r="F107">
        <v>8</v>
      </c>
      <c r="G107" t="s">
        <v>159</v>
      </c>
      <c r="H107" t="s">
        <v>160</v>
      </c>
      <c r="I107" t="s">
        <v>36</v>
      </c>
    </row>
    <row r="108" spans="1:9" x14ac:dyDescent="0.25">
      <c r="A108">
        <v>107</v>
      </c>
      <c r="B108">
        <v>9</v>
      </c>
      <c r="C108" s="3">
        <v>45033</v>
      </c>
      <c r="D108" t="s">
        <v>13</v>
      </c>
      <c r="E108" t="s">
        <v>14</v>
      </c>
      <c r="F108">
        <v>8</v>
      </c>
      <c r="G108" t="s">
        <v>175</v>
      </c>
      <c r="H108" t="s">
        <v>176</v>
      </c>
      <c r="I108" t="s">
        <v>97</v>
      </c>
    </row>
    <row r="109" spans="1:9" x14ac:dyDescent="0.25">
      <c r="A109">
        <v>108</v>
      </c>
      <c r="B109">
        <v>9</v>
      </c>
      <c r="C109" s="3">
        <v>45033</v>
      </c>
      <c r="D109" t="s">
        <v>13</v>
      </c>
      <c r="E109" t="s">
        <v>14</v>
      </c>
      <c r="F109">
        <v>8</v>
      </c>
      <c r="G109" t="s">
        <v>74</v>
      </c>
      <c r="H109" t="s">
        <v>75</v>
      </c>
      <c r="I109" t="s">
        <v>36</v>
      </c>
    </row>
    <row r="110" spans="1:9" x14ac:dyDescent="0.25">
      <c r="A110">
        <v>109</v>
      </c>
      <c r="B110">
        <v>9</v>
      </c>
      <c r="C110" s="3">
        <v>45033</v>
      </c>
      <c r="D110" t="s">
        <v>13</v>
      </c>
      <c r="E110" t="s">
        <v>14</v>
      </c>
      <c r="F110">
        <v>8</v>
      </c>
      <c r="G110" t="s">
        <v>177</v>
      </c>
      <c r="H110" t="s">
        <v>178</v>
      </c>
      <c r="I110" t="s">
        <v>36</v>
      </c>
    </row>
    <row r="111" spans="1:9" x14ac:dyDescent="0.25">
      <c r="A111">
        <v>110</v>
      </c>
      <c r="B111">
        <v>9</v>
      </c>
      <c r="C111" s="3">
        <v>45033</v>
      </c>
      <c r="D111" t="s">
        <v>13</v>
      </c>
      <c r="E111" t="s">
        <v>14</v>
      </c>
      <c r="F111">
        <v>8</v>
      </c>
      <c r="G111" t="s">
        <v>179</v>
      </c>
      <c r="H111" t="s">
        <v>180</v>
      </c>
      <c r="I111" t="s">
        <v>36</v>
      </c>
    </row>
    <row r="112" spans="1:9" x14ac:dyDescent="0.25">
      <c r="A112">
        <v>111</v>
      </c>
      <c r="B112">
        <v>9</v>
      </c>
      <c r="C112" s="3">
        <v>45033</v>
      </c>
      <c r="D112" t="s">
        <v>13</v>
      </c>
      <c r="E112" t="s">
        <v>14</v>
      </c>
      <c r="F112">
        <v>8</v>
      </c>
      <c r="G112" t="s">
        <v>141</v>
      </c>
      <c r="H112" t="s">
        <v>142</v>
      </c>
      <c r="I112" t="s">
        <v>122</v>
      </c>
    </row>
    <row r="113" spans="1:9" x14ac:dyDescent="0.25">
      <c r="A113">
        <v>112</v>
      </c>
      <c r="B113">
        <v>10</v>
      </c>
      <c r="C113" s="3">
        <v>45038</v>
      </c>
      <c r="D113" t="s">
        <v>20</v>
      </c>
      <c r="E113" t="s">
        <v>21</v>
      </c>
      <c r="F113">
        <v>4</v>
      </c>
      <c r="G113" t="s">
        <v>120</v>
      </c>
      <c r="H113" t="s">
        <v>121</v>
      </c>
      <c r="I113" t="s">
        <v>122</v>
      </c>
    </row>
    <row r="114" spans="1:9" x14ac:dyDescent="0.25">
      <c r="A114">
        <v>113</v>
      </c>
      <c r="B114">
        <v>10</v>
      </c>
      <c r="C114" s="3">
        <v>45038</v>
      </c>
      <c r="D114" t="s">
        <v>20</v>
      </c>
      <c r="E114" t="s">
        <v>21</v>
      </c>
      <c r="F114">
        <v>4</v>
      </c>
      <c r="G114" t="s">
        <v>181</v>
      </c>
      <c r="H114" t="s">
        <v>182</v>
      </c>
      <c r="I114" t="s">
        <v>30</v>
      </c>
    </row>
    <row r="115" spans="1:9" x14ac:dyDescent="0.25">
      <c r="A115">
        <v>114</v>
      </c>
      <c r="B115">
        <v>10</v>
      </c>
      <c r="C115" s="3">
        <v>45038</v>
      </c>
      <c r="D115" t="s">
        <v>20</v>
      </c>
      <c r="E115" t="s">
        <v>21</v>
      </c>
      <c r="F115">
        <v>4</v>
      </c>
      <c r="G115" t="s">
        <v>183</v>
      </c>
      <c r="H115" t="s">
        <v>184</v>
      </c>
      <c r="I115" t="s">
        <v>30</v>
      </c>
    </row>
    <row r="116" spans="1:9" x14ac:dyDescent="0.25">
      <c r="A116">
        <v>115</v>
      </c>
      <c r="B116">
        <v>10</v>
      </c>
      <c r="C116" s="3">
        <v>45038</v>
      </c>
      <c r="D116" t="s">
        <v>20</v>
      </c>
      <c r="E116" t="s">
        <v>21</v>
      </c>
      <c r="F116">
        <v>4</v>
      </c>
      <c r="G116" t="s">
        <v>173</v>
      </c>
      <c r="H116" t="s">
        <v>174</v>
      </c>
      <c r="I116" t="s">
        <v>119</v>
      </c>
    </row>
    <row r="117" spans="1:9" x14ac:dyDescent="0.25">
      <c r="A117">
        <v>116</v>
      </c>
      <c r="B117">
        <v>10</v>
      </c>
      <c r="C117" s="3">
        <v>45038</v>
      </c>
      <c r="D117" t="s">
        <v>20</v>
      </c>
      <c r="E117" t="s">
        <v>21</v>
      </c>
      <c r="F117">
        <v>4</v>
      </c>
      <c r="G117" t="s">
        <v>163</v>
      </c>
      <c r="H117" t="s">
        <v>164</v>
      </c>
      <c r="I117" t="s">
        <v>102</v>
      </c>
    </row>
    <row r="118" spans="1:9" x14ac:dyDescent="0.25">
      <c r="A118">
        <v>117</v>
      </c>
      <c r="B118">
        <v>10</v>
      </c>
      <c r="C118" s="3">
        <v>45038</v>
      </c>
      <c r="D118" t="s">
        <v>20</v>
      </c>
      <c r="E118" t="s">
        <v>21</v>
      </c>
      <c r="F118">
        <v>4</v>
      </c>
      <c r="G118" t="s">
        <v>165</v>
      </c>
      <c r="H118" t="s">
        <v>166</v>
      </c>
      <c r="I118" t="s">
        <v>43</v>
      </c>
    </row>
    <row r="119" spans="1:9" x14ac:dyDescent="0.25">
      <c r="A119">
        <v>118</v>
      </c>
      <c r="B119">
        <v>10</v>
      </c>
      <c r="C119" s="3">
        <v>45038</v>
      </c>
      <c r="D119" t="s">
        <v>20</v>
      </c>
      <c r="E119" t="s">
        <v>21</v>
      </c>
      <c r="F119">
        <v>4</v>
      </c>
      <c r="G119" t="s">
        <v>185</v>
      </c>
      <c r="H119" t="s">
        <v>186</v>
      </c>
      <c r="I119" t="s">
        <v>36</v>
      </c>
    </row>
    <row r="120" spans="1:9" x14ac:dyDescent="0.25">
      <c r="A120">
        <v>119</v>
      </c>
      <c r="B120">
        <v>10</v>
      </c>
      <c r="C120" s="3">
        <v>45038</v>
      </c>
      <c r="D120" t="s">
        <v>20</v>
      </c>
      <c r="E120" t="s">
        <v>21</v>
      </c>
      <c r="F120">
        <v>4</v>
      </c>
      <c r="G120" t="s">
        <v>135</v>
      </c>
      <c r="H120" t="s">
        <v>136</v>
      </c>
      <c r="I120" t="s">
        <v>33</v>
      </c>
    </row>
    <row r="121" spans="1:9" x14ac:dyDescent="0.25">
      <c r="A121">
        <v>120</v>
      </c>
      <c r="B121">
        <v>10</v>
      </c>
      <c r="C121" s="3">
        <v>45038</v>
      </c>
      <c r="D121" t="s">
        <v>20</v>
      </c>
      <c r="E121" t="s">
        <v>21</v>
      </c>
      <c r="F121">
        <v>4</v>
      </c>
      <c r="G121" t="s">
        <v>76</v>
      </c>
      <c r="H121" t="s">
        <v>77</v>
      </c>
      <c r="I121" t="s">
        <v>36</v>
      </c>
    </row>
    <row r="122" spans="1:9" x14ac:dyDescent="0.25">
      <c r="A122">
        <v>121</v>
      </c>
      <c r="B122">
        <v>10</v>
      </c>
      <c r="C122" s="3">
        <v>45038</v>
      </c>
      <c r="D122" t="s">
        <v>20</v>
      </c>
      <c r="E122" t="s">
        <v>21</v>
      </c>
      <c r="F122">
        <v>4</v>
      </c>
      <c r="G122" t="s">
        <v>167</v>
      </c>
      <c r="H122" t="s">
        <v>168</v>
      </c>
      <c r="I122" t="s">
        <v>122</v>
      </c>
    </row>
    <row r="123" spans="1:9" x14ac:dyDescent="0.25">
      <c r="A123">
        <v>122</v>
      </c>
      <c r="B123">
        <v>10</v>
      </c>
      <c r="C123" s="3">
        <v>45038</v>
      </c>
      <c r="D123" t="s">
        <v>20</v>
      </c>
      <c r="E123" t="s">
        <v>21</v>
      </c>
      <c r="F123">
        <v>4</v>
      </c>
      <c r="G123" t="s">
        <v>93</v>
      </c>
      <c r="H123" t="s">
        <v>94</v>
      </c>
      <c r="I123" t="s">
        <v>80</v>
      </c>
    </row>
    <row r="124" spans="1:9" x14ac:dyDescent="0.25">
      <c r="A124">
        <v>123</v>
      </c>
      <c r="B124">
        <v>10</v>
      </c>
      <c r="C124" s="3">
        <v>45038</v>
      </c>
      <c r="D124" t="s">
        <v>20</v>
      </c>
      <c r="E124" t="s">
        <v>21</v>
      </c>
      <c r="F124">
        <v>4</v>
      </c>
      <c r="G124" t="s">
        <v>177</v>
      </c>
      <c r="H124" t="s">
        <v>178</v>
      </c>
      <c r="I124" t="s">
        <v>36</v>
      </c>
    </row>
    <row r="125" spans="1:9" x14ac:dyDescent="0.25">
      <c r="A125">
        <v>124</v>
      </c>
      <c r="B125">
        <v>11</v>
      </c>
      <c r="C125" s="3">
        <v>45042</v>
      </c>
      <c r="D125" t="s">
        <v>22</v>
      </c>
      <c r="E125" t="s">
        <v>16</v>
      </c>
      <c r="F125">
        <v>6</v>
      </c>
      <c r="G125" t="s">
        <v>187</v>
      </c>
      <c r="H125" t="s">
        <v>188</v>
      </c>
      <c r="I125" t="s">
        <v>30</v>
      </c>
    </row>
    <row r="126" spans="1:9" x14ac:dyDescent="0.25">
      <c r="A126">
        <v>125</v>
      </c>
      <c r="B126">
        <v>11</v>
      </c>
      <c r="C126" s="3">
        <v>45042</v>
      </c>
      <c r="D126" t="s">
        <v>22</v>
      </c>
      <c r="E126" t="s">
        <v>16</v>
      </c>
      <c r="F126">
        <v>6</v>
      </c>
      <c r="G126" t="s">
        <v>105</v>
      </c>
      <c r="H126" t="s">
        <v>106</v>
      </c>
      <c r="I126" t="s">
        <v>30</v>
      </c>
    </row>
    <row r="127" spans="1:9" x14ac:dyDescent="0.25">
      <c r="A127">
        <v>126</v>
      </c>
      <c r="B127">
        <v>11</v>
      </c>
      <c r="C127" s="3">
        <v>45042</v>
      </c>
      <c r="D127" t="s">
        <v>22</v>
      </c>
      <c r="E127" t="s">
        <v>16</v>
      </c>
      <c r="F127">
        <v>6</v>
      </c>
      <c r="G127" t="s">
        <v>127</v>
      </c>
      <c r="H127" t="s">
        <v>128</v>
      </c>
      <c r="I127" t="s">
        <v>30</v>
      </c>
    </row>
    <row r="128" spans="1:9" x14ac:dyDescent="0.25">
      <c r="A128">
        <v>127</v>
      </c>
      <c r="B128">
        <v>11</v>
      </c>
      <c r="C128" s="3">
        <v>45042</v>
      </c>
      <c r="D128" t="s">
        <v>22</v>
      </c>
      <c r="E128" t="s">
        <v>16</v>
      </c>
      <c r="F128">
        <v>6</v>
      </c>
      <c r="G128" t="s">
        <v>70</v>
      </c>
      <c r="H128" t="s">
        <v>71</v>
      </c>
      <c r="I128" t="s">
        <v>36</v>
      </c>
    </row>
    <row r="129" spans="1:9" x14ac:dyDescent="0.25">
      <c r="A129">
        <v>128</v>
      </c>
      <c r="B129">
        <v>11</v>
      </c>
      <c r="C129" s="3">
        <v>45042</v>
      </c>
      <c r="D129" t="s">
        <v>22</v>
      </c>
      <c r="E129" t="s">
        <v>16</v>
      </c>
      <c r="F129">
        <v>6</v>
      </c>
      <c r="G129" t="s">
        <v>189</v>
      </c>
      <c r="H129" t="s">
        <v>190</v>
      </c>
      <c r="I129" t="s">
        <v>33</v>
      </c>
    </row>
    <row r="130" spans="1:9" x14ac:dyDescent="0.25">
      <c r="A130">
        <v>129</v>
      </c>
      <c r="B130">
        <v>11</v>
      </c>
      <c r="C130" s="3">
        <v>45042</v>
      </c>
      <c r="D130" t="s">
        <v>22</v>
      </c>
      <c r="E130" t="s">
        <v>16</v>
      </c>
      <c r="F130">
        <v>6</v>
      </c>
      <c r="G130" t="s">
        <v>149</v>
      </c>
      <c r="H130" t="s">
        <v>150</v>
      </c>
      <c r="I130" t="s">
        <v>33</v>
      </c>
    </row>
    <row r="131" spans="1:9" x14ac:dyDescent="0.25">
      <c r="A131">
        <v>130</v>
      </c>
      <c r="B131">
        <v>11</v>
      </c>
      <c r="C131" s="3">
        <v>45042</v>
      </c>
      <c r="D131" t="s">
        <v>22</v>
      </c>
      <c r="E131" t="s">
        <v>16</v>
      </c>
      <c r="F131">
        <v>6</v>
      </c>
      <c r="G131" t="s">
        <v>56</v>
      </c>
      <c r="H131" t="s">
        <v>57</v>
      </c>
      <c r="I131" t="s">
        <v>33</v>
      </c>
    </row>
    <row r="132" spans="1:9" x14ac:dyDescent="0.25">
      <c r="A132">
        <v>131</v>
      </c>
      <c r="B132">
        <v>11</v>
      </c>
      <c r="C132" s="3">
        <v>45042</v>
      </c>
      <c r="D132" t="s">
        <v>22</v>
      </c>
      <c r="E132" t="s">
        <v>16</v>
      </c>
      <c r="F132">
        <v>6</v>
      </c>
      <c r="G132" t="s">
        <v>111</v>
      </c>
      <c r="H132" t="s">
        <v>112</v>
      </c>
      <c r="I132" t="s">
        <v>33</v>
      </c>
    </row>
    <row r="133" spans="1:9" x14ac:dyDescent="0.25">
      <c r="A133">
        <v>132</v>
      </c>
      <c r="B133">
        <v>11</v>
      </c>
      <c r="C133" s="3">
        <v>45042</v>
      </c>
      <c r="D133" t="s">
        <v>22</v>
      </c>
      <c r="E133" t="s">
        <v>16</v>
      </c>
      <c r="F133">
        <v>6</v>
      </c>
      <c r="G133" t="s">
        <v>151</v>
      </c>
      <c r="H133" t="s">
        <v>152</v>
      </c>
      <c r="I133" t="s">
        <v>80</v>
      </c>
    </row>
    <row r="134" spans="1:9" x14ac:dyDescent="0.25">
      <c r="A134">
        <v>133</v>
      </c>
      <c r="B134">
        <v>11</v>
      </c>
      <c r="C134" s="3">
        <v>45042</v>
      </c>
      <c r="D134" t="s">
        <v>22</v>
      </c>
      <c r="E134" t="s">
        <v>16</v>
      </c>
      <c r="F134">
        <v>6</v>
      </c>
      <c r="G134" t="s">
        <v>135</v>
      </c>
      <c r="H134" t="s">
        <v>136</v>
      </c>
      <c r="I134" t="s">
        <v>33</v>
      </c>
    </row>
    <row r="135" spans="1:9" x14ac:dyDescent="0.25">
      <c r="A135">
        <v>134</v>
      </c>
      <c r="B135">
        <v>11</v>
      </c>
      <c r="C135" s="3">
        <v>45042</v>
      </c>
      <c r="D135" t="s">
        <v>22</v>
      </c>
      <c r="E135" t="s">
        <v>16</v>
      </c>
      <c r="F135">
        <v>6</v>
      </c>
      <c r="G135" t="s">
        <v>91</v>
      </c>
      <c r="H135" t="s">
        <v>92</v>
      </c>
      <c r="I135" t="s">
        <v>80</v>
      </c>
    </row>
    <row r="136" spans="1:9" x14ac:dyDescent="0.25">
      <c r="A136">
        <v>135</v>
      </c>
      <c r="B136">
        <v>11</v>
      </c>
      <c r="C136" s="3">
        <v>45042</v>
      </c>
      <c r="D136" t="s">
        <v>22</v>
      </c>
      <c r="E136" t="s">
        <v>16</v>
      </c>
      <c r="F136">
        <v>6</v>
      </c>
      <c r="G136" t="s">
        <v>139</v>
      </c>
      <c r="H136" t="s">
        <v>140</v>
      </c>
      <c r="I136" t="s">
        <v>36</v>
      </c>
    </row>
    <row r="137" spans="1:9" x14ac:dyDescent="0.25">
      <c r="A137">
        <v>136</v>
      </c>
      <c r="B137">
        <v>11</v>
      </c>
      <c r="C137" s="3">
        <v>45042</v>
      </c>
      <c r="D137" t="s">
        <v>22</v>
      </c>
      <c r="E137" t="s">
        <v>16</v>
      </c>
      <c r="F137">
        <v>6</v>
      </c>
      <c r="G137" t="s">
        <v>62</v>
      </c>
      <c r="H137" t="s">
        <v>63</v>
      </c>
      <c r="I137" t="s">
        <v>36</v>
      </c>
    </row>
    <row r="138" spans="1:9" x14ac:dyDescent="0.25">
      <c r="A138">
        <v>137</v>
      </c>
      <c r="B138">
        <v>12</v>
      </c>
      <c r="C138" s="3">
        <v>45059</v>
      </c>
      <c r="D138" t="s">
        <v>11</v>
      </c>
      <c r="E138" t="s">
        <v>12</v>
      </c>
      <c r="F138">
        <v>9</v>
      </c>
      <c r="G138" t="s">
        <v>98</v>
      </c>
      <c r="H138" t="s">
        <v>99</v>
      </c>
      <c r="I138" t="s">
        <v>30</v>
      </c>
    </row>
    <row r="139" spans="1:9" x14ac:dyDescent="0.25">
      <c r="A139">
        <v>138</v>
      </c>
      <c r="B139">
        <v>12</v>
      </c>
      <c r="C139" s="3">
        <v>45059</v>
      </c>
      <c r="D139" t="s">
        <v>11</v>
      </c>
      <c r="E139" t="s">
        <v>12</v>
      </c>
      <c r="F139">
        <v>9</v>
      </c>
      <c r="G139" t="s">
        <v>34</v>
      </c>
      <c r="H139" t="s">
        <v>35</v>
      </c>
      <c r="I139" t="s">
        <v>36</v>
      </c>
    </row>
    <row r="140" spans="1:9" x14ac:dyDescent="0.25">
      <c r="A140">
        <v>139</v>
      </c>
      <c r="B140">
        <v>12</v>
      </c>
      <c r="C140" s="3">
        <v>45059</v>
      </c>
      <c r="D140" t="s">
        <v>11</v>
      </c>
      <c r="E140" t="s">
        <v>12</v>
      </c>
      <c r="F140">
        <v>9</v>
      </c>
      <c r="G140" t="s">
        <v>100</v>
      </c>
      <c r="H140" t="s">
        <v>101</v>
      </c>
      <c r="I140" t="s">
        <v>102</v>
      </c>
    </row>
    <row r="141" spans="1:9" x14ac:dyDescent="0.25">
      <c r="A141">
        <v>140</v>
      </c>
      <c r="B141">
        <v>12</v>
      </c>
      <c r="C141" s="3">
        <v>45059</v>
      </c>
      <c r="D141" t="s">
        <v>11</v>
      </c>
      <c r="E141" t="s">
        <v>12</v>
      </c>
      <c r="F141">
        <v>9</v>
      </c>
      <c r="G141" t="s">
        <v>125</v>
      </c>
      <c r="H141" t="s">
        <v>126</v>
      </c>
      <c r="I141" t="s">
        <v>97</v>
      </c>
    </row>
    <row r="142" spans="1:9" x14ac:dyDescent="0.25">
      <c r="A142">
        <v>141</v>
      </c>
      <c r="B142">
        <v>12</v>
      </c>
      <c r="C142" s="3">
        <v>45059</v>
      </c>
      <c r="D142" t="s">
        <v>11</v>
      </c>
      <c r="E142" t="s">
        <v>12</v>
      </c>
      <c r="F142">
        <v>9</v>
      </c>
      <c r="G142" t="s">
        <v>50</v>
      </c>
      <c r="H142" t="s">
        <v>51</v>
      </c>
      <c r="I142" t="s">
        <v>30</v>
      </c>
    </row>
    <row r="143" spans="1:9" x14ac:dyDescent="0.25">
      <c r="A143">
        <v>142</v>
      </c>
      <c r="B143">
        <v>12</v>
      </c>
      <c r="C143" s="3">
        <v>45059</v>
      </c>
      <c r="D143" t="s">
        <v>11</v>
      </c>
      <c r="E143" t="s">
        <v>12</v>
      </c>
      <c r="F143">
        <v>9</v>
      </c>
      <c r="G143" t="s">
        <v>83</v>
      </c>
      <c r="H143" t="s">
        <v>84</v>
      </c>
      <c r="I143" t="s">
        <v>80</v>
      </c>
    </row>
    <row r="144" spans="1:9" x14ac:dyDescent="0.25">
      <c r="A144">
        <v>143</v>
      </c>
      <c r="B144">
        <v>12</v>
      </c>
      <c r="C144" s="3">
        <v>45059</v>
      </c>
      <c r="D144" t="s">
        <v>11</v>
      </c>
      <c r="E144" t="s">
        <v>12</v>
      </c>
      <c r="F144">
        <v>9</v>
      </c>
      <c r="G144" t="s">
        <v>109</v>
      </c>
      <c r="H144" t="s">
        <v>110</v>
      </c>
      <c r="I144" t="s">
        <v>97</v>
      </c>
    </row>
    <row r="145" spans="1:9" x14ac:dyDescent="0.25">
      <c r="A145">
        <v>144</v>
      </c>
      <c r="B145">
        <v>12</v>
      </c>
      <c r="C145" s="3">
        <v>45059</v>
      </c>
      <c r="D145" t="s">
        <v>11</v>
      </c>
      <c r="E145" t="s">
        <v>12</v>
      </c>
      <c r="F145">
        <v>9</v>
      </c>
      <c r="G145" t="s">
        <v>191</v>
      </c>
      <c r="H145" t="s">
        <v>192</v>
      </c>
      <c r="I145" t="s">
        <v>119</v>
      </c>
    </row>
    <row r="146" spans="1:9" x14ac:dyDescent="0.25">
      <c r="A146">
        <v>145</v>
      </c>
      <c r="B146">
        <v>12</v>
      </c>
      <c r="C146" s="3">
        <v>45059</v>
      </c>
      <c r="D146" t="s">
        <v>11</v>
      </c>
      <c r="E146" t="s">
        <v>12</v>
      </c>
      <c r="F146">
        <v>9</v>
      </c>
      <c r="G146" t="s">
        <v>193</v>
      </c>
      <c r="H146" t="s">
        <v>194</v>
      </c>
      <c r="I146" t="s">
        <v>36</v>
      </c>
    </row>
    <row r="147" spans="1:9" x14ac:dyDescent="0.25">
      <c r="A147">
        <v>146</v>
      </c>
      <c r="B147">
        <v>12</v>
      </c>
      <c r="C147" s="3">
        <v>45059</v>
      </c>
      <c r="D147" t="s">
        <v>11</v>
      </c>
      <c r="E147" t="s">
        <v>12</v>
      </c>
      <c r="F147">
        <v>9</v>
      </c>
      <c r="G147" t="s">
        <v>76</v>
      </c>
      <c r="H147" t="s">
        <v>77</v>
      </c>
      <c r="I147" t="s">
        <v>36</v>
      </c>
    </row>
    <row r="148" spans="1:9" x14ac:dyDescent="0.25">
      <c r="A148">
        <v>147</v>
      </c>
      <c r="B148">
        <v>12</v>
      </c>
      <c r="C148" s="3">
        <v>45059</v>
      </c>
      <c r="D148" t="s">
        <v>11</v>
      </c>
      <c r="E148" t="s">
        <v>12</v>
      </c>
      <c r="F148">
        <v>9</v>
      </c>
      <c r="G148" t="s">
        <v>195</v>
      </c>
      <c r="H148" t="s">
        <v>196</v>
      </c>
      <c r="I148" t="s">
        <v>80</v>
      </c>
    </row>
    <row r="149" spans="1:9" x14ac:dyDescent="0.25">
      <c r="A149">
        <v>148</v>
      </c>
      <c r="B149">
        <v>12</v>
      </c>
      <c r="C149" s="3">
        <v>45059</v>
      </c>
      <c r="D149" t="s">
        <v>11</v>
      </c>
      <c r="E149" t="s">
        <v>12</v>
      </c>
      <c r="F149">
        <v>9</v>
      </c>
      <c r="G149" t="s">
        <v>155</v>
      </c>
      <c r="H149" t="s">
        <v>156</v>
      </c>
      <c r="I149" t="s">
        <v>80</v>
      </c>
    </row>
    <row r="150" spans="1:9" x14ac:dyDescent="0.25">
      <c r="A150">
        <v>149</v>
      </c>
      <c r="B150">
        <v>12</v>
      </c>
      <c r="C150" s="3">
        <v>45059</v>
      </c>
      <c r="D150" t="s">
        <v>11</v>
      </c>
      <c r="E150" t="s">
        <v>12</v>
      </c>
      <c r="F150">
        <v>9</v>
      </c>
      <c r="G150" t="s">
        <v>197</v>
      </c>
      <c r="H150" t="s">
        <v>198</v>
      </c>
      <c r="I150" t="s">
        <v>80</v>
      </c>
    </row>
    <row r="151" spans="1:9" x14ac:dyDescent="0.25">
      <c r="A151">
        <v>150</v>
      </c>
      <c r="B151">
        <v>13</v>
      </c>
      <c r="C151" s="3">
        <v>45068</v>
      </c>
      <c r="D151" t="s">
        <v>7</v>
      </c>
      <c r="E151" t="s">
        <v>8</v>
      </c>
      <c r="F151">
        <v>4</v>
      </c>
      <c r="G151" t="s">
        <v>171</v>
      </c>
      <c r="H151" t="s">
        <v>172</v>
      </c>
      <c r="I151" t="s">
        <v>30</v>
      </c>
    </row>
    <row r="152" spans="1:9" x14ac:dyDescent="0.25">
      <c r="A152">
        <v>151</v>
      </c>
      <c r="B152">
        <v>13</v>
      </c>
      <c r="C152" s="3">
        <v>45068</v>
      </c>
      <c r="D152" t="s">
        <v>7</v>
      </c>
      <c r="E152" t="s">
        <v>8</v>
      </c>
      <c r="F152">
        <v>4</v>
      </c>
      <c r="G152" t="s">
        <v>68</v>
      </c>
      <c r="H152" t="s">
        <v>69</v>
      </c>
      <c r="I152" t="s">
        <v>36</v>
      </c>
    </row>
    <row r="153" spans="1:9" x14ac:dyDescent="0.25">
      <c r="A153">
        <v>152</v>
      </c>
      <c r="B153">
        <v>13</v>
      </c>
      <c r="C153" s="3">
        <v>45068</v>
      </c>
      <c r="D153" t="s">
        <v>7</v>
      </c>
      <c r="E153" t="s">
        <v>8</v>
      </c>
      <c r="F153">
        <v>4</v>
      </c>
      <c r="G153" t="s">
        <v>103</v>
      </c>
      <c r="H153" t="s">
        <v>104</v>
      </c>
      <c r="I153" t="s">
        <v>36</v>
      </c>
    </row>
    <row r="154" spans="1:9" x14ac:dyDescent="0.25">
      <c r="A154">
        <v>153</v>
      </c>
      <c r="B154">
        <v>13</v>
      </c>
      <c r="C154" s="3">
        <v>45068</v>
      </c>
      <c r="D154" t="s">
        <v>7</v>
      </c>
      <c r="E154" t="s">
        <v>8</v>
      </c>
      <c r="F154">
        <v>4</v>
      </c>
      <c r="G154" t="s">
        <v>199</v>
      </c>
      <c r="H154" t="s">
        <v>200</v>
      </c>
      <c r="I154" t="s">
        <v>30</v>
      </c>
    </row>
    <row r="155" spans="1:9" x14ac:dyDescent="0.25">
      <c r="A155">
        <v>154</v>
      </c>
      <c r="B155">
        <v>13</v>
      </c>
      <c r="C155" s="3">
        <v>45068</v>
      </c>
      <c r="D155" t="s">
        <v>7</v>
      </c>
      <c r="E155" t="s">
        <v>8</v>
      </c>
      <c r="F155">
        <v>4</v>
      </c>
      <c r="G155" t="s">
        <v>107</v>
      </c>
      <c r="H155" t="s">
        <v>108</v>
      </c>
      <c r="I155" t="s">
        <v>30</v>
      </c>
    </row>
    <row r="156" spans="1:9" x14ac:dyDescent="0.25">
      <c r="A156">
        <v>155</v>
      </c>
      <c r="B156">
        <v>13</v>
      </c>
      <c r="C156" s="3">
        <v>45068</v>
      </c>
      <c r="D156" t="s">
        <v>7</v>
      </c>
      <c r="E156" t="s">
        <v>8</v>
      </c>
      <c r="F156">
        <v>4</v>
      </c>
      <c r="G156" t="s">
        <v>159</v>
      </c>
      <c r="H156" t="s">
        <v>160</v>
      </c>
      <c r="I156" t="s">
        <v>36</v>
      </c>
    </row>
    <row r="157" spans="1:9" x14ac:dyDescent="0.25">
      <c r="A157">
        <v>156</v>
      </c>
      <c r="B157">
        <v>13</v>
      </c>
      <c r="C157" s="3">
        <v>45068</v>
      </c>
      <c r="D157" t="s">
        <v>7</v>
      </c>
      <c r="E157" t="s">
        <v>8</v>
      </c>
      <c r="F157">
        <v>4</v>
      </c>
      <c r="G157" t="s">
        <v>113</v>
      </c>
      <c r="H157" t="s">
        <v>114</v>
      </c>
      <c r="I157" t="s">
        <v>36</v>
      </c>
    </row>
    <row r="158" spans="1:9" x14ac:dyDescent="0.25">
      <c r="A158">
        <v>157</v>
      </c>
      <c r="B158">
        <v>13</v>
      </c>
      <c r="C158" s="3">
        <v>45068</v>
      </c>
      <c r="D158" t="s">
        <v>7</v>
      </c>
      <c r="E158" t="s">
        <v>8</v>
      </c>
      <c r="F158">
        <v>4</v>
      </c>
      <c r="G158" t="s">
        <v>58</v>
      </c>
      <c r="H158" t="s">
        <v>59</v>
      </c>
      <c r="I158" t="s">
        <v>36</v>
      </c>
    </row>
    <row r="159" spans="1:9" x14ac:dyDescent="0.25">
      <c r="A159">
        <v>158</v>
      </c>
      <c r="B159">
        <v>13</v>
      </c>
      <c r="C159" s="3">
        <v>45068</v>
      </c>
      <c r="D159" t="s">
        <v>7</v>
      </c>
      <c r="E159" t="s">
        <v>8</v>
      </c>
      <c r="F159">
        <v>4</v>
      </c>
      <c r="G159" t="s">
        <v>74</v>
      </c>
      <c r="H159" t="s">
        <v>75</v>
      </c>
      <c r="I159" t="s">
        <v>36</v>
      </c>
    </row>
    <row r="160" spans="1:9" x14ac:dyDescent="0.25">
      <c r="A160">
        <v>159</v>
      </c>
      <c r="B160">
        <v>13</v>
      </c>
      <c r="C160" s="3">
        <v>45068</v>
      </c>
      <c r="D160" t="s">
        <v>7</v>
      </c>
      <c r="E160" t="s">
        <v>8</v>
      </c>
      <c r="F160">
        <v>4</v>
      </c>
      <c r="G160" t="s">
        <v>193</v>
      </c>
      <c r="H160" t="s">
        <v>194</v>
      </c>
      <c r="I160" t="s">
        <v>36</v>
      </c>
    </row>
    <row r="161" spans="1:9" x14ac:dyDescent="0.25">
      <c r="A161">
        <v>160</v>
      </c>
      <c r="B161">
        <v>13</v>
      </c>
      <c r="C161" s="3">
        <v>45068</v>
      </c>
      <c r="D161" t="s">
        <v>7</v>
      </c>
      <c r="E161" t="s">
        <v>8</v>
      </c>
      <c r="F161">
        <v>4</v>
      </c>
      <c r="G161" t="s">
        <v>115</v>
      </c>
      <c r="H161" t="s">
        <v>116</v>
      </c>
      <c r="I161" t="s">
        <v>36</v>
      </c>
    </row>
    <row r="162" spans="1:9" x14ac:dyDescent="0.25">
      <c r="A162">
        <v>161</v>
      </c>
      <c r="B162">
        <v>13</v>
      </c>
      <c r="C162" s="3">
        <v>45068</v>
      </c>
      <c r="D162" t="s">
        <v>7</v>
      </c>
      <c r="E162" t="s">
        <v>8</v>
      </c>
      <c r="F162">
        <v>4</v>
      </c>
      <c r="G162" t="s">
        <v>177</v>
      </c>
      <c r="H162" t="s">
        <v>178</v>
      </c>
      <c r="I162" t="s">
        <v>36</v>
      </c>
    </row>
    <row r="163" spans="1:9" x14ac:dyDescent="0.25">
      <c r="A163">
        <v>162</v>
      </c>
      <c r="B163">
        <v>13</v>
      </c>
      <c r="C163" s="3">
        <v>45068</v>
      </c>
      <c r="D163" t="s">
        <v>7</v>
      </c>
      <c r="E163" t="s">
        <v>8</v>
      </c>
      <c r="F163">
        <v>4</v>
      </c>
      <c r="G163" t="s">
        <v>201</v>
      </c>
      <c r="H163" t="s">
        <v>202</v>
      </c>
      <c r="I163" t="s">
        <v>36</v>
      </c>
    </row>
    <row r="164" spans="1:9" x14ac:dyDescent="0.25">
      <c r="A164">
        <v>163</v>
      </c>
      <c r="B164">
        <v>13</v>
      </c>
      <c r="C164" s="3">
        <v>45068</v>
      </c>
      <c r="D164" t="s">
        <v>7</v>
      </c>
      <c r="E164" t="s">
        <v>8</v>
      </c>
      <c r="F164">
        <v>4</v>
      </c>
      <c r="G164" t="s">
        <v>179</v>
      </c>
      <c r="H164" t="s">
        <v>180</v>
      </c>
      <c r="I164" t="s">
        <v>36</v>
      </c>
    </row>
    <row r="165" spans="1:9" x14ac:dyDescent="0.25">
      <c r="A165">
        <v>164</v>
      </c>
      <c r="B165">
        <v>14</v>
      </c>
      <c r="C165" s="3">
        <v>45076</v>
      </c>
      <c r="D165" t="s">
        <v>9</v>
      </c>
      <c r="E165" t="s">
        <v>10</v>
      </c>
      <c r="F165">
        <v>8</v>
      </c>
      <c r="G165" t="s">
        <v>78</v>
      </c>
      <c r="H165" t="s">
        <v>79</v>
      </c>
      <c r="I165" t="s">
        <v>80</v>
      </c>
    </row>
    <row r="166" spans="1:9" x14ac:dyDescent="0.25">
      <c r="A166">
        <v>165</v>
      </c>
      <c r="B166">
        <v>14</v>
      </c>
      <c r="C166" s="3">
        <v>45076</v>
      </c>
      <c r="D166" t="s">
        <v>9</v>
      </c>
      <c r="E166" t="s">
        <v>10</v>
      </c>
      <c r="F166">
        <v>8</v>
      </c>
      <c r="G166" t="s">
        <v>171</v>
      </c>
      <c r="H166" t="s">
        <v>172</v>
      </c>
      <c r="I166" t="s">
        <v>30</v>
      </c>
    </row>
    <row r="167" spans="1:9" x14ac:dyDescent="0.25">
      <c r="A167">
        <v>166</v>
      </c>
      <c r="B167">
        <v>14</v>
      </c>
      <c r="C167" s="3">
        <v>45076</v>
      </c>
      <c r="D167" t="s">
        <v>9</v>
      </c>
      <c r="E167" t="s">
        <v>10</v>
      </c>
      <c r="F167">
        <v>8</v>
      </c>
      <c r="G167" t="s">
        <v>81</v>
      </c>
      <c r="H167" t="s">
        <v>82</v>
      </c>
      <c r="I167" t="s">
        <v>80</v>
      </c>
    </row>
    <row r="168" spans="1:9" x14ac:dyDescent="0.25">
      <c r="A168">
        <v>167</v>
      </c>
      <c r="B168">
        <v>14</v>
      </c>
      <c r="C168" s="3">
        <v>45076</v>
      </c>
      <c r="D168" t="s">
        <v>9</v>
      </c>
      <c r="E168" t="s">
        <v>10</v>
      </c>
      <c r="F168">
        <v>8</v>
      </c>
      <c r="G168" t="s">
        <v>111</v>
      </c>
      <c r="H168" t="s">
        <v>112</v>
      </c>
      <c r="I168" t="s">
        <v>33</v>
      </c>
    </row>
    <row r="169" spans="1:9" x14ac:dyDescent="0.25">
      <c r="A169">
        <v>168</v>
      </c>
      <c r="B169">
        <v>14</v>
      </c>
      <c r="C169" s="3">
        <v>45076</v>
      </c>
      <c r="D169" t="s">
        <v>9</v>
      </c>
      <c r="E169" t="s">
        <v>10</v>
      </c>
      <c r="F169">
        <v>8</v>
      </c>
      <c r="G169" t="s">
        <v>191</v>
      </c>
      <c r="H169" t="s">
        <v>192</v>
      </c>
      <c r="I169" t="s">
        <v>119</v>
      </c>
    </row>
    <row r="170" spans="1:9" x14ac:dyDescent="0.25">
      <c r="A170">
        <v>169</v>
      </c>
      <c r="B170">
        <v>14</v>
      </c>
      <c r="C170" s="3">
        <v>45076</v>
      </c>
      <c r="D170" t="s">
        <v>9</v>
      </c>
      <c r="E170" t="s">
        <v>10</v>
      </c>
      <c r="F170">
        <v>8</v>
      </c>
      <c r="G170" t="s">
        <v>85</v>
      </c>
      <c r="H170" t="s">
        <v>86</v>
      </c>
      <c r="I170" t="s">
        <v>80</v>
      </c>
    </row>
    <row r="171" spans="1:9" x14ac:dyDescent="0.25">
      <c r="A171">
        <v>170</v>
      </c>
      <c r="B171">
        <v>14</v>
      </c>
      <c r="C171" s="3">
        <v>45076</v>
      </c>
      <c r="D171" t="s">
        <v>9</v>
      </c>
      <c r="E171" t="s">
        <v>10</v>
      </c>
      <c r="F171">
        <v>8</v>
      </c>
      <c r="G171" t="s">
        <v>151</v>
      </c>
      <c r="H171" t="s">
        <v>152</v>
      </c>
      <c r="I171" t="s">
        <v>80</v>
      </c>
    </row>
    <row r="172" spans="1:9" x14ac:dyDescent="0.25">
      <c r="A172">
        <v>171</v>
      </c>
      <c r="B172">
        <v>14</v>
      </c>
      <c r="C172" s="3">
        <v>45076</v>
      </c>
      <c r="D172" t="s">
        <v>9</v>
      </c>
      <c r="E172" t="s">
        <v>10</v>
      </c>
      <c r="F172">
        <v>8</v>
      </c>
      <c r="G172" t="s">
        <v>60</v>
      </c>
      <c r="H172" t="s">
        <v>61</v>
      </c>
      <c r="I172" t="s">
        <v>43</v>
      </c>
    </row>
    <row r="173" spans="1:9" x14ac:dyDescent="0.25">
      <c r="A173">
        <v>172</v>
      </c>
      <c r="B173">
        <v>14</v>
      </c>
      <c r="C173" s="3">
        <v>45076</v>
      </c>
      <c r="D173" t="s">
        <v>9</v>
      </c>
      <c r="E173" t="s">
        <v>10</v>
      </c>
      <c r="F173">
        <v>8</v>
      </c>
      <c r="G173" t="s">
        <v>89</v>
      </c>
      <c r="H173" t="s">
        <v>90</v>
      </c>
      <c r="I173" t="s">
        <v>80</v>
      </c>
    </row>
    <row r="174" spans="1:9" x14ac:dyDescent="0.25">
      <c r="A174">
        <v>173</v>
      </c>
      <c r="B174">
        <v>14</v>
      </c>
      <c r="C174" s="3">
        <v>45076</v>
      </c>
      <c r="D174" t="s">
        <v>9</v>
      </c>
      <c r="E174" t="s">
        <v>10</v>
      </c>
      <c r="F174">
        <v>8</v>
      </c>
      <c r="G174" t="s">
        <v>203</v>
      </c>
      <c r="H174" t="s">
        <v>204</v>
      </c>
      <c r="I174" t="s">
        <v>80</v>
      </c>
    </row>
    <row r="175" spans="1:9" x14ac:dyDescent="0.25">
      <c r="A175">
        <v>174</v>
      </c>
      <c r="B175">
        <v>15</v>
      </c>
      <c r="C175" s="3">
        <v>45086</v>
      </c>
      <c r="D175" t="s">
        <v>23</v>
      </c>
      <c r="E175" t="s">
        <v>6</v>
      </c>
      <c r="F175">
        <v>16</v>
      </c>
      <c r="G175" t="s">
        <v>31</v>
      </c>
      <c r="H175" t="s">
        <v>32</v>
      </c>
      <c r="I175" t="s">
        <v>33</v>
      </c>
    </row>
    <row r="176" spans="1:9" x14ac:dyDescent="0.25">
      <c r="A176">
        <v>175</v>
      </c>
      <c r="B176">
        <v>15</v>
      </c>
      <c r="C176" s="3">
        <v>45086</v>
      </c>
      <c r="D176" t="s">
        <v>23</v>
      </c>
      <c r="E176" t="s">
        <v>6</v>
      </c>
      <c r="F176">
        <v>16</v>
      </c>
      <c r="G176" t="s">
        <v>98</v>
      </c>
      <c r="H176" t="s">
        <v>99</v>
      </c>
      <c r="I176" t="s">
        <v>30</v>
      </c>
    </row>
    <row r="177" spans="1:9" x14ac:dyDescent="0.25">
      <c r="A177">
        <v>176</v>
      </c>
      <c r="B177">
        <v>15</v>
      </c>
      <c r="C177" s="3">
        <v>45086</v>
      </c>
      <c r="D177" t="s">
        <v>23</v>
      </c>
      <c r="E177" t="s">
        <v>6</v>
      </c>
      <c r="F177">
        <v>16</v>
      </c>
      <c r="G177" t="s">
        <v>37</v>
      </c>
      <c r="H177" t="s">
        <v>38</v>
      </c>
      <c r="I177" t="s">
        <v>30</v>
      </c>
    </row>
    <row r="178" spans="1:9" x14ac:dyDescent="0.25">
      <c r="A178">
        <v>177</v>
      </c>
      <c r="B178">
        <v>15</v>
      </c>
      <c r="C178" s="3">
        <v>45086</v>
      </c>
      <c r="D178" t="s">
        <v>23</v>
      </c>
      <c r="E178" t="s">
        <v>6</v>
      </c>
      <c r="F178">
        <v>16</v>
      </c>
      <c r="G178" t="s">
        <v>105</v>
      </c>
      <c r="H178" t="s">
        <v>106</v>
      </c>
      <c r="I178" t="s">
        <v>30</v>
      </c>
    </row>
    <row r="179" spans="1:9" x14ac:dyDescent="0.25">
      <c r="A179">
        <v>178</v>
      </c>
      <c r="B179">
        <v>15</v>
      </c>
      <c r="C179" s="3">
        <v>45086</v>
      </c>
      <c r="D179" t="s">
        <v>23</v>
      </c>
      <c r="E179" t="s">
        <v>6</v>
      </c>
      <c r="F179">
        <v>16</v>
      </c>
      <c r="G179" t="s">
        <v>50</v>
      </c>
      <c r="H179" t="s">
        <v>51</v>
      </c>
      <c r="I179" t="s">
        <v>30</v>
      </c>
    </row>
    <row r="180" spans="1:9" x14ac:dyDescent="0.25">
      <c r="A180">
        <v>179</v>
      </c>
      <c r="B180">
        <v>15</v>
      </c>
      <c r="C180" s="3">
        <v>45086</v>
      </c>
      <c r="D180" t="s">
        <v>23</v>
      </c>
      <c r="E180" t="s">
        <v>6</v>
      </c>
      <c r="F180">
        <v>16</v>
      </c>
      <c r="G180" t="s">
        <v>149</v>
      </c>
      <c r="H180" t="s">
        <v>150</v>
      </c>
      <c r="I180" t="s">
        <v>33</v>
      </c>
    </row>
    <row r="181" spans="1:9" x14ac:dyDescent="0.25">
      <c r="A181">
        <v>180</v>
      </c>
      <c r="B181">
        <v>15</v>
      </c>
      <c r="C181" s="3">
        <v>45086</v>
      </c>
      <c r="D181" t="s">
        <v>23</v>
      </c>
      <c r="E181" t="s">
        <v>6</v>
      </c>
      <c r="F181">
        <v>16</v>
      </c>
      <c r="G181" t="s">
        <v>131</v>
      </c>
      <c r="H181" t="s">
        <v>132</v>
      </c>
      <c r="I181" t="s">
        <v>33</v>
      </c>
    </row>
    <row r="182" spans="1:9" x14ac:dyDescent="0.25">
      <c r="A182">
        <v>181</v>
      </c>
      <c r="B182">
        <v>15</v>
      </c>
      <c r="C182" s="3">
        <v>45086</v>
      </c>
      <c r="D182" t="s">
        <v>23</v>
      </c>
      <c r="E182" t="s">
        <v>6</v>
      </c>
      <c r="F182">
        <v>16</v>
      </c>
      <c r="G182" t="s">
        <v>111</v>
      </c>
      <c r="H182" t="s">
        <v>112</v>
      </c>
      <c r="I182" t="s">
        <v>33</v>
      </c>
    </row>
    <row r="183" spans="1:9" x14ac:dyDescent="0.25">
      <c r="A183">
        <v>182</v>
      </c>
      <c r="B183">
        <v>15</v>
      </c>
      <c r="C183" s="3">
        <v>45086</v>
      </c>
      <c r="D183" t="s">
        <v>23</v>
      </c>
      <c r="E183" t="s">
        <v>6</v>
      </c>
      <c r="F183">
        <v>16</v>
      </c>
      <c r="G183" t="s">
        <v>165</v>
      </c>
      <c r="H183" t="s">
        <v>166</v>
      </c>
      <c r="I183" t="s">
        <v>43</v>
      </c>
    </row>
    <row r="184" spans="1:9" x14ac:dyDescent="0.25">
      <c r="A184">
        <v>183</v>
      </c>
      <c r="B184">
        <v>15</v>
      </c>
      <c r="C184" s="3">
        <v>45086</v>
      </c>
      <c r="D184" t="s">
        <v>23</v>
      </c>
      <c r="E184" t="s">
        <v>6</v>
      </c>
      <c r="F184">
        <v>16</v>
      </c>
      <c r="G184" t="s">
        <v>185</v>
      </c>
      <c r="H184" t="s">
        <v>186</v>
      </c>
      <c r="I184" t="s">
        <v>36</v>
      </c>
    </row>
    <row r="185" spans="1:9" x14ac:dyDescent="0.25">
      <c r="A185">
        <v>184</v>
      </c>
      <c r="B185">
        <v>15</v>
      </c>
      <c r="C185" s="3">
        <v>45086</v>
      </c>
      <c r="D185" t="s">
        <v>23</v>
      </c>
      <c r="E185" t="s">
        <v>6</v>
      </c>
      <c r="F185">
        <v>16</v>
      </c>
      <c r="G185" t="s">
        <v>135</v>
      </c>
      <c r="H185" t="s">
        <v>136</v>
      </c>
      <c r="I185" t="s">
        <v>33</v>
      </c>
    </row>
    <row r="186" spans="1:9" x14ac:dyDescent="0.25">
      <c r="A186">
        <v>185</v>
      </c>
      <c r="B186">
        <v>15</v>
      </c>
      <c r="C186" s="3">
        <v>45086</v>
      </c>
      <c r="D186" t="s">
        <v>23</v>
      </c>
      <c r="E186" t="s">
        <v>6</v>
      </c>
      <c r="F186">
        <v>16</v>
      </c>
      <c r="G186" t="s">
        <v>137</v>
      </c>
      <c r="H186" t="s">
        <v>138</v>
      </c>
      <c r="I186" t="s">
        <v>43</v>
      </c>
    </row>
    <row r="187" spans="1:9" x14ac:dyDescent="0.25">
      <c r="A187">
        <v>186</v>
      </c>
      <c r="B187">
        <v>16</v>
      </c>
      <c r="C187" s="3">
        <v>45108</v>
      </c>
      <c r="D187" t="s">
        <v>17</v>
      </c>
      <c r="E187" t="s">
        <v>18</v>
      </c>
      <c r="F187">
        <v>6</v>
      </c>
      <c r="G187" t="s">
        <v>120</v>
      </c>
      <c r="H187" t="s">
        <v>121</v>
      </c>
      <c r="I187" t="s">
        <v>122</v>
      </c>
    </row>
    <row r="188" spans="1:9" x14ac:dyDescent="0.25">
      <c r="A188">
        <v>187</v>
      </c>
      <c r="B188">
        <v>16</v>
      </c>
      <c r="C188" s="3">
        <v>45108</v>
      </c>
      <c r="D188" t="s">
        <v>17</v>
      </c>
      <c r="E188" t="s">
        <v>18</v>
      </c>
      <c r="F188">
        <v>6</v>
      </c>
      <c r="G188" t="s">
        <v>78</v>
      </c>
      <c r="H188" t="s">
        <v>79</v>
      </c>
      <c r="I188" t="s">
        <v>80</v>
      </c>
    </row>
    <row r="189" spans="1:9" x14ac:dyDescent="0.25">
      <c r="A189">
        <v>188</v>
      </c>
      <c r="B189">
        <v>16</v>
      </c>
      <c r="C189" s="3">
        <v>45108</v>
      </c>
      <c r="D189" t="s">
        <v>17</v>
      </c>
      <c r="E189" t="s">
        <v>18</v>
      </c>
      <c r="F189">
        <v>6</v>
      </c>
      <c r="G189" t="s">
        <v>100</v>
      </c>
      <c r="H189" t="s">
        <v>101</v>
      </c>
      <c r="I189" t="s">
        <v>102</v>
      </c>
    </row>
    <row r="190" spans="1:9" x14ac:dyDescent="0.25">
      <c r="A190">
        <v>189</v>
      </c>
      <c r="B190">
        <v>16</v>
      </c>
      <c r="C190" s="3">
        <v>45108</v>
      </c>
      <c r="D190" t="s">
        <v>17</v>
      </c>
      <c r="E190" t="s">
        <v>18</v>
      </c>
      <c r="F190">
        <v>6</v>
      </c>
      <c r="G190" t="s">
        <v>123</v>
      </c>
      <c r="H190" t="s">
        <v>124</v>
      </c>
      <c r="I190" t="s">
        <v>102</v>
      </c>
    </row>
    <row r="191" spans="1:9" x14ac:dyDescent="0.25">
      <c r="A191">
        <v>190</v>
      </c>
      <c r="B191">
        <v>16</v>
      </c>
      <c r="C191" s="3">
        <v>45108</v>
      </c>
      <c r="D191" t="s">
        <v>17</v>
      </c>
      <c r="E191" t="s">
        <v>18</v>
      </c>
      <c r="F191">
        <v>6</v>
      </c>
      <c r="G191" t="s">
        <v>41</v>
      </c>
      <c r="H191" t="s">
        <v>42</v>
      </c>
      <c r="I191" t="s">
        <v>43</v>
      </c>
    </row>
    <row r="192" spans="1:9" x14ac:dyDescent="0.25">
      <c r="A192">
        <v>191</v>
      </c>
      <c r="B192">
        <v>16</v>
      </c>
      <c r="C192" s="3">
        <v>45108</v>
      </c>
      <c r="D192" t="s">
        <v>17</v>
      </c>
      <c r="E192" t="s">
        <v>18</v>
      </c>
      <c r="F192">
        <v>6</v>
      </c>
      <c r="G192" t="s">
        <v>129</v>
      </c>
      <c r="H192" t="s">
        <v>130</v>
      </c>
      <c r="I192" t="s">
        <v>102</v>
      </c>
    </row>
    <row r="193" spans="1:9" x14ac:dyDescent="0.25">
      <c r="A193">
        <v>192</v>
      </c>
      <c r="B193">
        <v>16</v>
      </c>
      <c r="C193" s="3">
        <v>45108</v>
      </c>
      <c r="D193" t="s">
        <v>17</v>
      </c>
      <c r="E193" t="s">
        <v>18</v>
      </c>
      <c r="F193">
        <v>6</v>
      </c>
      <c r="G193" t="s">
        <v>81</v>
      </c>
      <c r="H193" t="s">
        <v>82</v>
      </c>
      <c r="I193" t="s">
        <v>80</v>
      </c>
    </row>
    <row r="194" spans="1:9" x14ac:dyDescent="0.25">
      <c r="A194">
        <v>193</v>
      </c>
      <c r="B194">
        <v>16</v>
      </c>
      <c r="C194" s="3">
        <v>45108</v>
      </c>
      <c r="D194" t="s">
        <v>17</v>
      </c>
      <c r="E194" t="s">
        <v>18</v>
      </c>
      <c r="F194">
        <v>6</v>
      </c>
      <c r="G194" t="s">
        <v>83</v>
      </c>
      <c r="H194" t="s">
        <v>84</v>
      </c>
      <c r="I194" t="s">
        <v>80</v>
      </c>
    </row>
    <row r="195" spans="1:9" x14ac:dyDescent="0.25">
      <c r="A195">
        <v>194</v>
      </c>
      <c r="B195">
        <v>16</v>
      </c>
      <c r="C195" s="3">
        <v>45108</v>
      </c>
      <c r="D195" t="s">
        <v>17</v>
      </c>
      <c r="E195" t="s">
        <v>18</v>
      </c>
      <c r="F195">
        <v>6</v>
      </c>
      <c r="G195" t="s">
        <v>133</v>
      </c>
      <c r="H195" t="s">
        <v>134</v>
      </c>
      <c r="I195" t="s">
        <v>122</v>
      </c>
    </row>
    <row r="196" spans="1:9" x14ac:dyDescent="0.25">
      <c r="A196">
        <v>195</v>
      </c>
      <c r="B196">
        <v>16</v>
      </c>
      <c r="C196" s="3">
        <v>45108</v>
      </c>
      <c r="D196" t="s">
        <v>17</v>
      </c>
      <c r="E196" t="s">
        <v>18</v>
      </c>
      <c r="F196">
        <v>6</v>
      </c>
      <c r="G196" t="s">
        <v>205</v>
      </c>
      <c r="H196" t="s">
        <v>206</v>
      </c>
      <c r="I196" t="s">
        <v>122</v>
      </c>
    </row>
    <row r="197" spans="1:9" x14ac:dyDescent="0.25">
      <c r="A197">
        <v>196</v>
      </c>
      <c r="B197">
        <v>16</v>
      </c>
      <c r="C197" s="3">
        <v>45108</v>
      </c>
      <c r="D197" t="s">
        <v>17</v>
      </c>
      <c r="E197" t="s">
        <v>18</v>
      </c>
      <c r="F197">
        <v>6</v>
      </c>
      <c r="G197" t="s">
        <v>153</v>
      </c>
      <c r="H197" t="s">
        <v>154</v>
      </c>
      <c r="I197" t="s">
        <v>36</v>
      </c>
    </row>
    <row r="198" spans="1:9" x14ac:dyDescent="0.25">
      <c r="A198">
        <v>197</v>
      </c>
      <c r="B198">
        <v>16</v>
      </c>
      <c r="C198" s="3">
        <v>45108</v>
      </c>
      <c r="D198" t="s">
        <v>17</v>
      </c>
      <c r="E198" t="s">
        <v>18</v>
      </c>
      <c r="F198">
        <v>6</v>
      </c>
      <c r="G198" t="s">
        <v>139</v>
      </c>
      <c r="H198" t="s">
        <v>140</v>
      </c>
      <c r="I198" t="s">
        <v>36</v>
      </c>
    </row>
    <row r="199" spans="1:9" x14ac:dyDescent="0.25">
      <c r="A199">
        <v>198</v>
      </c>
      <c r="B199">
        <v>16</v>
      </c>
      <c r="C199" s="3">
        <v>45108</v>
      </c>
      <c r="D199" t="s">
        <v>17</v>
      </c>
      <c r="E199" t="s">
        <v>18</v>
      </c>
      <c r="F199">
        <v>6</v>
      </c>
      <c r="G199" t="s">
        <v>203</v>
      </c>
      <c r="H199" t="s">
        <v>204</v>
      </c>
      <c r="I199" t="s">
        <v>80</v>
      </c>
    </row>
    <row r="200" spans="1:9" x14ac:dyDescent="0.25">
      <c r="A200">
        <v>199</v>
      </c>
      <c r="B200">
        <v>17</v>
      </c>
      <c r="C200" s="3">
        <v>45113</v>
      </c>
      <c r="D200" t="s">
        <v>22</v>
      </c>
      <c r="E200" t="s">
        <v>16</v>
      </c>
      <c r="F200">
        <v>4</v>
      </c>
      <c r="G200" t="s">
        <v>31</v>
      </c>
      <c r="H200" t="s">
        <v>32</v>
      </c>
      <c r="I200" t="s">
        <v>33</v>
      </c>
    </row>
    <row r="201" spans="1:9" x14ac:dyDescent="0.25">
      <c r="A201">
        <v>200</v>
      </c>
      <c r="B201">
        <v>17</v>
      </c>
      <c r="C201" s="3">
        <v>45113</v>
      </c>
      <c r="D201" t="s">
        <v>22</v>
      </c>
      <c r="E201" t="s">
        <v>16</v>
      </c>
      <c r="F201">
        <v>4</v>
      </c>
      <c r="G201" t="s">
        <v>181</v>
      </c>
      <c r="H201" t="s">
        <v>182</v>
      </c>
      <c r="I201" t="s">
        <v>30</v>
      </c>
    </row>
    <row r="202" spans="1:9" x14ac:dyDescent="0.25">
      <c r="A202">
        <v>201</v>
      </c>
      <c r="B202">
        <v>17</v>
      </c>
      <c r="C202" s="3">
        <v>45113</v>
      </c>
      <c r="D202" t="s">
        <v>22</v>
      </c>
      <c r="E202" t="s">
        <v>16</v>
      </c>
      <c r="F202">
        <v>4</v>
      </c>
      <c r="G202" t="s">
        <v>44</v>
      </c>
      <c r="H202" t="s">
        <v>45</v>
      </c>
      <c r="I202" t="s">
        <v>33</v>
      </c>
    </row>
    <row r="203" spans="1:9" x14ac:dyDescent="0.25">
      <c r="A203">
        <v>202</v>
      </c>
      <c r="B203">
        <v>17</v>
      </c>
      <c r="C203" s="3">
        <v>45113</v>
      </c>
      <c r="D203" t="s">
        <v>22</v>
      </c>
      <c r="E203" t="s">
        <v>16</v>
      </c>
      <c r="F203">
        <v>4</v>
      </c>
      <c r="G203" t="s">
        <v>207</v>
      </c>
      <c r="H203" t="s">
        <v>208</v>
      </c>
      <c r="I203" t="s">
        <v>30</v>
      </c>
    </row>
    <row r="204" spans="1:9" x14ac:dyDescent="0.25">
      <c r="A204">
        <v>203</v>
      </c>
      <c r="B204">
        <v>17</v>
      </c>
      <c r="C204" s="3">
        <v>45113</v>
      </c>
      <c r="D204" t="s">
        <v>22</v>
      </c>
      <c r="E204" t="s">
        <v>16</v>
      </c>
      <c r="F204">
        <v>4</v>
      </c>
      <c r="G204" t="s">
        <v>48</v>
      </c>
      <c r="H204" t="s">
        <v>49</v>
      </c>
      <c r="I204" t="s">
        <v>30</v>
      </c>
    </row>
    <row r="205" spans="1:9" x14ac:dyDescent="0.25">
      <c r="A205">
        <v>204</v>
      </c>
      <c r="B205">
        <v>17</v>
      </c>
      <c r="C205" s="3">
        <v>45113</v>
      </c>
      <c r="D205" t="s">
        <v>22</v>
      </c>
      <c r="E205" t="s">
        <v>16</v>
      </c>
      <c r="F205">
        <v>4</v>
      </c>
      <c r="G205" t="s">
        <v>149</v>
      </c>
      <c r="H205" t="s">
        <v>150</v>
      </c>
      <c r="I205" t="s">
        <v>33</v>
      </c>
    </row>
    <row r="206" spans="1:9" x14ac:dyDescent="0.25">
      <c r="A206">
        <v>205</v>
      </c>
      <c r="B206">
        <v>17</v>
      </c>
      <c r="C206" s="3">
        <v>45113</v>
      </c>
      <c r="D206" t="s">
        <v>22</v>
      </c>
      <c r="E206" t="s">
        <v>16</v>
      </c>
      <c r="F206">
        <v>4</v>
      </c>
      <c r="G206" t="s">
        <v>199</v>
      </c>
      <c r="H206" t="s">
        <v>200</v>
      </c>
      <c r="I206" t="s">
        <v>30</v>
      </c>
    </row>
    <row r="207" spans="1:9" x14ac:dyDescent="0.25">
      <c r="A207">
        <v>206</v>
      </c>
      <c r="B207">
        <v>17</v>
      </c>
      <c r="C207" s="3">
        <v>45113</v>
      </c>
      <c r="D207" t="s">
        <v>22</v>
      </c>
      <c r="E207" t="s">
        <v>16</v>
      </c>
      <c r="F207">
        <v>4</v>
      </c>
      <c r="G207" t="s">
        <v>131</v>
      </c>
      <c r="H207" t="s">
        <v>132</v>
      </c>
      <c r="I207" t="s">
        <v>33</v>
      </c>
    </row>
    <row r="208" spans="1:9" x14ac:dyDescent="0.25">
      <c r="A208">
        <v>207</v>
      </c>
      <c r="B208">
        <v>17</v>
      </c>
      <c r="C208" s="3">
        <v>45113</v>
      </c>
      <c r="D208" t="s">
        <v>22</v>
      </c>
      <c r="E208" t="s">
        <v>16</v>
      </c>
      <c r="F208">
        <v>4</v>
      </c>
      <c r="G208" t="s">
        <v>56</v>
      </c>
      <c r="H208" t="s">
        <v>57</v>
      </c>
      <c r="I208" t="s">
        <v>33</v>
      </c>
    </row>
    <row r="209" spans="1:9" x14ac:dyDescent="0.25">
      <c r="A209">
        <v>208</v>
      </c>
      <c r="B209">
        <v>17</v>
      </c>
      <c r="C209" s="3">
        <v>45113</v>
      </c>
      <c r="D209" t="s">
        <v>22</v>
      </c>
      <c r="E209" t="s">
        <v>16</v>
      </c>
      <c r="F209">
        <v>4</v>
      </c>
      <c r="G209" t="s">
        <v>209</v>
      </c>
      <c r="H209" t="s">
        <v>210</v>
      </c>
      <c r="I209" t="s">
        <v>33</v>
      </c>
    </row>
    <row r="210" spans="1:9" x14ac:dyDescent="0.25">
      <c r="A210">
        <v>209</v>
      </c>
      <c r="B210">
        <v>18</v>
      </c>
      <c r="C210" s="3">
        <v>45125</v>
      </c>
      <c r="D210" t="s">
        <v>15</v>
      </c>
      <c r="E210" t="s">
        <v>16</v>
      </c>
      <c r="F210">
        <v>6</v>
      </c>
      <c r="G210" t="s">
        <v>211</v>
      </c>
      <c r="H210" t="s">
        <v>212</v>
      </c>
      <c r="I210" t="s">
        <v>30</v>
      </c>
    </row>
    <row r="211" spans="1:9" x14ac:dyDescent="0.25">
      <c r="A211">
        <v>210</v>
      </c>
      <c r="B211">
        <v>18</v>
      </c>
      <c r="C211" s="3">
        <v>45125</v>
      </c>
      <c r="D211" t="s">
        <v>15</v>
      </c>
      <c r="E211" t="s">
        <v>16</v>
      </c>
      <c r="F211">
        <v>6</v>
      </c>
      <c r="G211" t="s">
        <v>213</v>
      </c>
      <c r="H211" t="s">
        <v>214</v>
      </c>
      <c r="I211" t="s">
        <v>30</v>
      </c>
    </row>
    <row r="212" spans="1:9" x14ac:dyDescent="0.25">
      <c r="A212">
        <v>211</v>
      </c>
      <c r="B212">
        <v>18</v>
      </c>
      <c r="C212" s="3">
        <v>45125</v>
      </c>
      <c r="D212" t="s">
        <v>15</v>
      </c>
      <c r="E212" t="s">
        <v>16</v>
      </c>
      <c r="F212">
        <v>6</v>
      </c>
      <c r="G212" t="s">
        <v>171</v>
      </c>
      <c r="H212" t="s">
        <v>172</v>
      </c>
      <c r="I212" t="s">
        <v>30</v>
      </c>
    </row>
    <row r="213" spans="1:9" x14ac:dyDescent="0.25">
      <c r="A213">
        <v>212</v>
      </c>
      <c r="B213">
        <v>18</v>
      </c>
      <c r="C213" s="3">
        <v>45125</v>
      </c>
      <c r="D213" t="s">
        <v>15</v>
      </c>
      <c r="E213" t="s">
        <v>16</v>
      </c>
      <c r="F213">
        <v>6</v>
      </c>
      <c r="G213" t="s">
        <v>215</v>
      </c>
      <c r="H213" t="s">
        <v>216</v>
      </c>
      <c r="I213" t="s">
        <v>30</v>
      </c>
    </row>
    <row r="214" spans="1:9" x14ac:dyDescent="0.25">
      <c r="A214">
        <v>213</v>
      </c>
      <c r="B214">
        <v>18</v>
      </c>
      <c r="C214" s="3">
        <v>45125</v>
      </c>
      <c r="D214" t="s">
        <v>15</v>
      </c>
      <c r="E214" t="s">
        <v>16</v>
      </c>
      <c r="F214">
        <v>6</v>
      </c>
      <c r="G214" t="s">
        <v>41</v>
      </c>
      <c r="H214" t="s">
        <v>42</v>
      </c>
      <c r="I214" t="s">
        <v>43</v>
      </c>
    </row>
    <row r="215" spans="1:9" x14ac:dyDescent="0.25">
      <c r="A215">
        <v>214</v>
      </c>
      <c r="B215">
        <v>18</v>
      </c>
      <c r="C215" s="3">
        <v>45125</v>
      </c>
      <c r="D215" t="s">
        <v>15</v>
      </c>
      <c r="E215" t="s">
        <v>16</v>
      </c>
      <c r="F215">
        <v>6</v>
      </c>
      <c r="G215" t="s">
        <v>44</v>
      </c>
      <c r="H215" t="s">
        <v>45</v>
      </c>
      <c r="I215" t="s">
        <v>33</v>
      </c>
    </row>
    <row r="216" spans="1:9" x14ac:dyDescent="0.25">
      <c r="A216">
        <v>215</v>
      </c>
      <c r="B216">
        <v>18</v>
      </c>
      <c r="C216" s="3">
        <v>45125</v>
      </c>
      <c r="D216" t="s">
        <v>15</v>
      </c>
      <c r="E216" t="s">
        <v>16</v>
      </c>
      <c r="F216">
        <v>6</v>
      </c>
      <c r="G216" t="s">
        <v>149</v>
      </c>
      <c r="H216" t="s">
        <v>150</v>
      </c>
      <c r="I216" t="s">
        <v>33</v>
      </c>
    </row>
    <row r="217" spans="1:9" x14ac:dyDescent="0.25">
      <c r="A217">
        <v>216</v>
      </c>
      <c r="B217">
        <v>18</v>
      </c>
      <c r="C217" s="3">
        <v>45125</v>
      </c>
      <c r="D217" t="s">
        <v>15</v>
      </c>
      <c r="E217" t="s">
        <v>16</v>
      </c>
      <c r="F217">
        <v>6</v>
      </c>
      <c r="G217" t="s">
        <v>107</v>
      </c>
      <c r="H217" t="s">
        <v>108</v>
      </c>
      <c r="I217" t="s">
        <v>30</v>
      </c>
    </row>
    <row r="218" spans="1:9" x14ac:dyDescent="0.25">
      <c r="A218">
        <v>217</v>
      </c>
      <c r="B218">
        <v>18</v>
      </c>
      <c r="C218" s="3">
        <v>45125</v>
      </c>
      <c r="D218" t="s">
        <v>15</v>
      </c>
      <c r="E218" t="s">
        <v>16</v>
      </c>
      <c r="F218">
        <v>6</v>
      </c>
      <c r="G218" t="s">
        <v>72</v>
      </c>
      <c r="H218" t="s">
        <v>73</v>
      </c>
      <c r="I218" t="s">
        <v>43</v>
      </c>
    </row>
    <row r="219" spans="1:9" x14ac:dyDescent="0.25">
      <c r="A219">
        <v>218</v>
      </c>
      <c r="B219">
        <v>18</v>
      </c>
      <c r="C219" s="3">
        <v>45125</v>
      </c>
      <c r="D219" t="s">
        <v>15</v>
      </c>
      <c r="E219" t="s">
        <v>16</v>
      </c>
      <c r="F219">
        <v>6</v>
      </c>
      <c r="G219" t="s">
        <v>111</v>
      </c>
      <c r="H219" t="s">
        <v>112</v>
      </c>
      <c r="I219" t="s">
        <v>33</v>
      </c>
    </row>
    <row r="220" spans="1:9" x14ac:dyDescent="0.25">
      <c r="A220">
        <v>219</v>
      </c>
      <c r="B220">
        <v>18</v>
      </c>
      <c r="C220" s="3">
        <v>45125</v>
      </c>
      <c r="D220" t="s">
        <v>15</v>
      </c>
      <c r="E220" t="s">
        <v>16</v>
      </c>
      <c r="F220">
        <v>6</v>
      </c>
      <c r="G220" t="s">
        <v>58</v>
      </c>
      <c r="H220" t="s">
        <v>59</v>
      </c>
      <c r="I220" t="s">
        <v>36</v>
      </c>
    </row>
    <row r="221" spans="1:9" x14ac:dyDescent="0.25">
      <c r="A221">
        <v>220</v>
      </c>
      <c r="B221">
        <v>18</v>
      </c>
      <c r="C221" s="3">
        <v>45125</v>
      </c>
      <c r="D221" t="s">
        <v>15</v>
      </c>
      <c r="E221" t="s">
        <v>16</v>
      </c>
      <c r="F221">
        <v>6</v>
      </c>
      <c r="G221" t="s">
        <v>185</v>
      </c>
      <c r="H221" t="s">
        <v>186</v>
      </c>
      <c r="I221" t="s">
        <v>36</v>
      </c>
    </row>
    <row r="222" spans="1:9" x14ac:dyDescent="0.25">
      <c r="A222">
        <v>221</v>
      </c>
      <c r="B222">
        <v>18</v>
      </c>
      <c r="C222" s="3">
        <v>45125</v>
      </c>
      <c r="D222" t="s">
        <v>15</v>
      </c>
      <c r="E222" t="s">
        <v>16</v>
      </c>
      <c r="F222">
        <v>6</v>
      </c>
      <c r="G222" t="s">
        <v>60</v>
      </c>
      <c r="H222" t="s">
        <v>61</v>
      </c>
      <c r="I222" t="s">
        <v>43</v>
      </c>
    </row>
    <row r="223" spans="1:9" x14ac:dyDescent="0.25">
      <c r="A223">
        <v>222</v>
      </c>
      <c r="B223">
        <v>18</v>
      </c>
      <c r="C223" s="3">
        <v>45125</v>
      </c>
      <c r="D223" t="s">
        <v>15</v>
      </c>
      <c r="E223" t="s">
        <v>16</v>
      </c>
      <c r="F223">
        <v>6</v>
      </c>
      <c r="G223" t="s">
        <v>153</v>
      </c>
      <c r="H223" t="s">
        <v>154</v>
      </c>
      <c r="I223" t="s">
        <v>36</v>
      </c>
    </row>
    <row r="224" spans="1:9" x14ac:dyDescent="0.25">
      <c r="A224">
        <v>223</v>
      </c>
      <c r="B224">
        <v>18</v>
      </c>
      <c r="C224" s="3">
        <v>45125</v>
      </c>
      <c r="D224" t="s">
        <v>15</v>
      </c>
      <c r="E224" t="s">
        <v>16</v>
      </c>
      <c r="F224">
        <v>6</v>
      </c>
      <c r="G224" t="s">
        <v>115</v>
      </c>
      <c r="H224" t="s">
        <v>116</v>
      </c>
      <c r="I224" t="s">
        <v>36</v>
      </c>
    </row>
    <row r="225" spans="1:9" x14ac:dyDescent="0.25">
      <c r="A225">
        <v>224</v>
      </c>
      <c r="B225">
        <v>19</v>
      </c>
      <c r="C225" s="3">
        <v>45130</v>
      </c>
      <c r="D225" t="s">
        <v>13</v>
      </c>
      <c r="E225" t="s">
        <v>14</v>
      </c>
      <c r="F225">
        <v>4</v>
      </c>
      <c r="G225" t="s">
        <v>98</v>
      </c>
      <c r="H225" t="s">
        <v>99</v>
      </c>
      <c r="I225" t="s">
        <v>30</v>
      </c>
    </row>
    <row r="226" spans="1:9" x14ac:dyDescent="0.25">
      <c r="A226">
        <v>225</v>
      </c>
      <c r="B226">
        <v>19</v>
      </c>
      <c r="C226" s="3">
        <v>45130</v>
      </c>
      <c r="D226" t="s">
        <v>13</v>
      </c>
      <c r="E226" t="s">
        <v>14</v>
      </c>
      <c r="F226">
        <v>4</v>
      </c>
      <c r="G226" t="s">
        <v>78</v>
      </c>
      <c r="H226" t="s">
        <v>79</v>
      </c>
      <c r="I226" t="s">
        <v>80</v>
      </c>
    </row>
    <row r="227" spans="1:9" x14ac:dyDescent="0.25">
      <c r="A227">
        <v>226</v>
      </c>
      <c r="B227">
        <v>19</v>
      </c>
      <c r="C227" s="3">
        <v>45130</v>
      </c>
      <c r="D227" t="s">
        <v>13</v>
      </c>
      <c r="E227" t="s">
        <v>14</v>
      </c>
      <c r="F227">
        <v>4</v>
      </c>
      <c r="G227" t="s">
        <v>100</v>
      </c>
      <c r="H227" t="s">
        <v>101</v>
      </c>
      <c r="I227" t="s">
        <v>102</v>
      </c>
    </row>
    <row r="228" spans="1:9" x14ac:dyDescent="0.25">
      <c r="A228">
        <v>227</v>
      </c>
      <c r="B228">
        <v>19</v>
      </c>
      <c r="C228" s="3">
        <v>45130</v>
      </c>
      <c r="D228" t="s">
        <v>13</v>
      </c>
      <c r="E228" t="s">
        <v>14</v>
      </c>
      <c r="F228">
        <v>4</v>
      </c>
      <c r="G228" t="s">
        <v>183</v>
      </c>
      <c r="H228" t="s">
        <v>184</v>
      </c>
      <c r="I228" t="s">
        <v>30</v>
      </c>
    </row>
    <row r="229" spans="1:9" x14ac:dyDescent="0.25">
      <c r="A229">
        <v>228</v>
      </c>
      <c r="B229">
        <v>19</v>
      </c>
      <c r="C229" s="3">
        <v>45130</v>
      </c>
      <c r="D229" t="s">
        <v>13</v>
      </c>
      <c r="E229" t="s">
        <v>14</v>
      </c>
      <c r="F229">
        <v>4</v>
      </c>
      <c r="G229" t="s">
        <v>68</v>
      </c>
      <c r="H229" t="s">
        <v>69</v>
      </c>
      <c r="I229" t="s">
        <v>36</v>
      </c>
    </row>
    <row r="230" spans="1:9" x14ac:dyDescent="0.25">
      <c r="A230">
        <v>229</v>
      </c>
      <c r="B230">
        <v>19</v>
      </c>
      <c r="C230" s="3">
        <v>45130</v>
      </c>
      <c r="D230" t="s">
        <v>13</v>
      </c>
      <c r="E230" t="s">
        <v>14</v>
      </c>
      <c r="F230">
        <v>4</v>
      </c>
      <c r="G230" t="s">
        <v>125</v>
      </c>
      <c r="H230" t="s">
        <v>126</v>
      </c>
      <c r="I230" t="s">
        <v>97</v>
      </c>
    </row>
    <row r="231" spans="1:9" x14ac:dyDescent="0.25">
      <c r="A231">
        <v>230</v>
      </c>
      <c r="B231">
        <v>19</v>
      </c>
      <c r="C231" s="3">
        <v>45130</v>
      </c>
      <c r="D231" t="s">
        <v>13</v>
      </c>
      <c r="E231" t="s">
        <v>14</v>
      </c>
      <c r="F231">
        <v>4</v>
      </c>
      <c r="G231" t="s">
        <v>173</v>
      </c>
      <c r="H231" t="s">
        <v>174</v>
      </c>
      <c r="I231" t="s">
        <v>119</v>
      </c>
    </row>
    <row r="232" spans="1:9" x14ac:dyDescent="0.25">
      <c r="A232">
        <v>231</v>
      </c>
      <c r="B232">
        <v>19</v>
      </c>
      <c r="C232" s="3">
        <v>45130</v>
      </c>
      <c r="D232" t="s">
        <v>13</v>
      </c>
      <c r="E232" t="s">
        <v>14</v>
      </c>
      <c r="F232">
        <v>4</v>
      </c>
      <c r="G232" t="s">
        <v>44</v>
      </c>
      <c r="H232" t="s">
        <v>45</v>
      </c>
      <c r="I232" t="s">
        <v>33</v>
      </c>
    </row>
    <row r="233" spans="1:9" x14ac:dyDescent="0.25">
      <c r="A233">
        <v>232</v>
      </c>
      <c r="B233">
        <v>19</v>
      </c>
      <c r="C233" s="3">
        <v>45130</v>
      </c>
      <c r="D233" t="s">
        <v>13</v>
      </c>
      <c r="E233" t="s">
        <v>14</v>
      </c>
      <c r="F233">
        <v>4</v>
      </c>
      <c r="G233" t="s">
        <v>46</v>
      </c>
      <c r="H233" t="s">
        <v>47</v>
      </c>
      <c r="I233" t="s">
        <v>30</v>
      </c>
    </row>
    <row r="234" spans="1:9" x14ac:dyDescent="0.25">
      <c r="A234">
        <v>233</v>
      </c>
      <c r="B234">
        <v>19</v>
      </c>
      <c r="C234" s="3">
        <v>45130</v>
      </c>
      <c r="D234" t="s">
        <v>13</v>
      </c>
      <c r="E234" t="s">
        <v>14</v>
      </c>
      <c r="F234">
        <v>4</v>
      </c>
      <c r="G234" t="s">
        <v>189</v>
      </c>
      <c r="H234" t="s">
        <v>190</v>
      </c>
      <c r="I234" t="s">
        <v>33</v>
      </c>
    </row>
    <row r="235" spans="1:9" x14ac:dyDescent="0.25">
      <c r="A235">
        <v>234</v>
      </c>
      <c r="B235">
        <v>19</v>
      </c>
      <c r="C235" s="3">
        <v>45130</v>
      </c>
      <c r="D235" t="s">
        <v>13</v>
      </c>
      <c r="E235" t="s">
        <v>14</v>
      </c>
      <c r="F235">
        <v>4</v>
      </c>
      <c r="G235" t="s">
        <v>81</v>
      </c>
      <c r="H235" t="s">
        <v>82</v>
      </c>
      <c r="I235" t="s">
        <v>80</v>
      </c>
    </row>
    <row r="236" spans="1:9" x14ac:dyDescent="0.25">
      <c r="A236">
        <v>235</v>
      </c>
      <c r="B236">
        <v>19</v>
      </c>
      <c r="C236" s="3">
        <v>45130</v>
      </c>
      <c r="D236" t="s">
        <v>13</v>
      </c>
      <c r="E236" t="s">
        <v>14</v>
      </c>
      <c r="F236">
        <v>4</v>
      </c>
      <c r="G236" t="s">
        <v>163</v>
      </c>
      <c r="H236" t="s">
        <v>164</v>
      </c>
      <c r="I236" t="s">
        <v>102</v>
      </c>
    </row>
    <row r="237" spans="1:9" x14ac:dyDescent="0.25">
      <c r="A237">
        <v>236</v>
      </c>
      <c r="B237">
        <v>19</v>
      </c>
      <c r="C237" s="3">
        <v>45130</v>
      </c>
      <c r="D237" t="s">
        <v>13</v>
      </c>
      <c r="E237" t="s">
        <v>14</v>
      </c>
      <c r="F237">
        <v>4</v>
      </c>
      <c r="G237" t="s">
        <v>217</v>
      </c>
      <c r="H237" t="s">
        <v>218</v>
      </c>
      <c r="I237" t="s">
        <v>97</v>
      </c>
    </row>
    <row r="238" spans="1:9" x14ac:dyDescent="0.25">
      <c r="A238">
        <v>237</v>
      </c>
      <c r="B238">
        <v>19</v>
      </c>
      <c r="C238" s="3">
        <v>45130</v>
      </c>
      <c r="D238" t="s">
        <v>13</v>
      </c>
      <c r="E238" t="s">
        <v>14</v>
      </c>
      <c r="F238">
        <v>4</v>
      </c>
      <c r="G238" t="s">
        <v>205</v>
      </c>
      <c r="H238" t="s">
        <v>206</v>
      </c>
      <c r="I238" t="s">
        <v>122</v>
      </c>
    </row>
    <row r="239" spans="1:9" x14ac:dyDescent="0.25">
      <c r="A239">
        <v>238</v>
      </c>
      <c r="B239">
        <v>19</v>
      </c>
      <c r="C239" s="3">
        <v>45130</v>
      </c>
      <c r="D239" t="s">
        <v>13</v>
      </c>
      <c r="E239" t="s">
        <v>14</v>
      </c>
      <c r="F239">
        <v>4</v>
      </c>
      <c r="G239" t="s">
        <v>219</v>
      </c>
      <c r="H239" t="s">
        <v>220</v>
      </c>
      <c r="I239" t="s">
        <v>122</v>
      </c>
    </row>
    <row r="240" spans="1:9" x14ac:dyDescent="0.25">
      <c r="A240">
        <v>239</v>
      </c>
      <c r="B240">
        <v>19</v>
      </c>
      <c r="C240" s="3">
        <v>45130</v>
      </c>
      <c r="D240" t="s">
        <v>13</v>
      </c>
      <c r="E240" t="s">
        <v>14</v>
      </c>
      <c r="F240">
        <v>4</v>
      </c>
      <c r="G240" t="s">
        <v>76</v>
      </c>
      <c r="H240" t="s">
        <v>77</v>
      </c>
      <c r="I240" t="s">
        <v>36</v>
      </c>
    </row>
    <row r="241" spans="1:9" x14ac:dyDescent="0.25">
      <c r="A241">
        <v>240</v>
      </c>
      <c r="B241">
        <v>19</v>
      </c>
      <c r="C241" s="3">
        <v>45130</v>
      </c>
      <c r="D241" t="s">
        <v>13</v>
      </c>
      <c r="E241" t="s">
        <v>14</v>
      </c>
      <c r="F241">
        <v>4</v>
      </c>
      <c r="G241" t="s">
        <v>137</v>
      </c>
      <c r="H241" t="s">
        <v>138</v>
      </c>
      <c r="I241" t="s">
        <v>43</v>
      </c>
    </row>
    <row r="242" spans="1:9" x14ac:dyDescent="0.25">
      <c r="A242">
        <v>241</v>
      </c>
      <c r="B242">
        <v>19</v>
      </c>
      <c r="C242" s="3">
        <v>45130</v>
      </c>
      <c r="D242" t="s">
        <v>13</v>
      </c>
      <c r="E242" t="s">
        <v>14</v>
      </c>
      <c r="F242">
        <v>4</v>
      </c>
      <c r="G242" t="s">
        <v>167</v>
      </c>
      <c r="H242" t="s">
        <v>168</v>
      </c>
      <c r="I242" t="s">
        <v>122</v>
      </c>
    </row>
    <row r="243" spans="1:9" x14ac:dyDescent="0.25">
      <c r="A243">
        <v>242</v>
      </c>
      <c r="B243">
        <v>19</v>
      </c>
      <c r="C243" s="3">
        <v>45130</v>
      </c>
      <c r="D243" t="s">
        <v>13</v>
      </c>
      <c r="E243" t="s">
        <v>14</v>
      </c>
      <c r="F243">
        <v>4</v>
      </c>
      <c r="G243" t="s">
        <v>203</v>
      </c>
      <c r="H243" t="s">
        <v>204</v>
      </c>
      <c r="I243" t="s">
        <v>80</v>
      </c>
    </row>
    <row r="244" spans="1:9" x14ac:dyDescent="0.25">
      <c r="A244">
        <v>243</v>
      </c>
      <c r="B244">
        <v>19</v>
      </c>
      <c r="C244" s="3">
        <v>45130</v>
      </c>
      <c r="D244" t="s">
        <v>13</v>
      </c>
      <c r="E244" t="s">
        <v>14</v>
      </c>
      <c r="F244">
        <v>4</v>
      </c>
      <c r="G244" t="s">
        <v>115</v>
      </c>
      <c r="H244" t="s">
        <v>116</v>
      </c>
      <c r="I244" t="s">
        <v>36</v>
      </c>
    </row>
    <row r="245" spans="1:9" x14ac:dyDescent="0.25">
      <c r="A245">
        <v>244</v>
      </c>
      <c r="B245">
        <v>20</v>
      </c>
      <c r="C245" s="3">
        <v>45144</v>
      </c>
      <c r="D245" t="s">
        <v>23</v>
      </c>
      <c r="E245" t="s">
        <v>6</v>
      </c>
      <c r="F245">
        <v>16</v>
      </c>
      <c r="G245" t="s">
        <v>28</v>
      </c>
      <c r="H245" t="s">
        <v>29</v>
      </c>
      <c r="I245" t="s">
        <v>30</v>
      </c>
    </row>
    <row r="246" spans="1:9" x14ac:dyDescent="0.25">
      <c r="A246">
        <v>245</v>
      </c>
      <c r="B246">
        <v>20</v>
      </c>
      <c r="C246" s="3">
        <v>45144</v>
      </c>
      <c r="D246" t="s">
        <v>23</v>
      </c>
      <c r="E246" t="s">
        <v>6</v>
      </c>
      <c r="F246">
        <v>16</v>
      </c>
      <c r="G246" t="s">
        <v>183</v>
      </c>
      <c r="H246" t="s">
        <v>184</v>
      </c>
      <c r="I246" t="s">
        <v>30</v>
      </c>
    </row>
    <row r="247" spans="1:9" x14ac:dyDescent="0.25">
      <c r="A247">
        <v>246</v>
      </c>
      <c r="B247">
        <v>20</v>
      </c>
      <c r="C247" s="3">
        <v>45144</v>
      </c>
      <c r="D247" t="s">
        <v>23</v>
      </c>
      <c r="E247" t="s">
        <v>6</v>
      </c>
      <c r="F247">
        <v>16</v>
      </c>
      <c r="G247" t="s">
        <v>145</v>
      </c>
      <c r="H247" t="s">
        <v>146</v>
      </c>
      <c r="I247" t="s">
        <v>30</v>
      </c>
    </row>
    <row r="248" spans="1:9" x14ac:dyDescent="0.25">
      <c r="A248">
        <v>247</v>
      </c>
      <c r="B248">
        <v>20</v>
      </c>
      <c r="C248" s="3">
        <v>45144</v>
      </c>
      <c r="D248" t="s">
        <v>23</v>
      </c>
      <c r="E248" t="s">
        <v>6</v>
      </c>
      <c r="F248">
        <v>16</v>
      </c>
      <c r="G248" t="s">
        <v>207</v>
      </c>
      <c r="H248" t="s">
        <v>208</v>
      </c>
      <c r="I248" t="s">
        <v>30</v>
      </c>
    </row>
    <row r="249" spans="1:9" x14ac:dyDescent="0.25">
      <c r="A249">
        <v>248</v>
      </c>
      <c r="B249">
        <v>20</v>
      </c>
      <c r="C249" s="3">
        <v>45144</v>
      </c>
      <c r="D249" t="s">
        <v>23</v>
      </c>
      <c r="E249" t="s">
        <v>6</v>
      </c>
      <c r="F249">
        <v>16</v>
      </c>
      <c r="G249" t="s">
        <v>48</v>
      </c>
      <c r="H249" t="s">
        <v>49</v>
      </c>
      <c r="I249" t="s">
        <v>30</v>
      </c>
    </row>
    <row r="250" spans="1:9" x14ac:dyDescent="0.25">
      <c r="A250">
        <v>249</v>
      </c>
      <c r="B250">
        <v>20</v>
      </c>
      <c r="C250" s="3">
        <v>45144</v>
      </c>
      <c r="D250" t="s">
        <v>23</v>
      </c>
      <c r="E250" t="s">
        <v>6</v>
      </c>
      <c r="F250">
        <v>16</v>
      </c>
      <c r="G250" t="s">
        <v>199</v>
      </c>
      <c r="H250" t="s">
        <v>200</v>
      </c>
      <c r="I250" t="s">
        <v>30</v>
      </c>
    </row>
    <row r="251" spans="1:9" x14ac:dyDescent="0.25">
      <c r="A251">
        <v>250</v>
      </c>
      <c r="B251">
        <v>20</v>
      </c>
      <c r="C251" s="3">
        <v>45144</v>
      </c>
      <c r="D251" t="s">
        <v>23</v>
      </c>
      <c r="E251" t="s">
        <v>6</v>
      </c>
      <c r="F251">
        <v>16</v>
      </c>
      <c r="G251" t="s">
        <v>56</v>
      </c>
      <c r="H251" t="s">
        <v>57</v>
      </c>
      <c r="I251" t="s">
        <v>33</v>
      </c>
    </row>
    <row r="252" spans="1:9" x14ac:dyDescent="0.25">
      <c r="A252">
        <v>251</v>
      </c>
      <c r="B252">
        <v>20</v>
      </c>
      <c r="C252" s="3">
        <v>45144</v>
      </c>
      <c r="D252" t="s">
        <v>23</v>
      </c>
      <c r="E252" t="s">
        <v>6</v>
      </c>
      <c r="F252">
        <v>16</v>
      </c>
      <c r="G252" t="s">
        <v>137</v>
      </c>
      <c r="H252" t="s">
        <v>138</v>
      </c>
      <c r="I252" t="s">
        <v>43</v>
      </c>
    </row>
    <row r="253" spans="1:9" x14ac:dyDescent="0.25">
      <c r="A253">
        <v>252</v>
      </c>
      <c r="B253">
        <v>20</v>
      </c>
      <c r="C253" s="3">
        <v>45144</v>
      </c>
      <c r="D253" t="s">
        <v>23</v>
      </c>
      <c r="E253" t="s">
        <v>6</v>
      </c>
      <c r="F253">
        <v>16</v>
      </c>
      <c r="G253" t="s">
        <v>115</v>
      </c>
      <c r="H253" t="s">
        <v>116</v>
      </c>
      <c r="I253" t="s">
        <v>36</v>
      </c>
    </row>
    <row r="254" spans="1:9" x14ac:dyDescent="0.25">
      <c r="A254">
        <v>253</v>
      </c>
      <c r="B254">
        <v>20</v>
      </c>
      <c r="C254" s="3">
        <v>45144</v>
      </c>
      <c r="D254" t="s">
        <v>23</v>
      </c>
      <c r="E254" t="s">
        <v>6</v>
      </c>
      <c r="F254">
        <v>16</v>
      </c>
      <c r="G254" t="s">
        <v>201</v>
      </c>
      <c r="H254" t="s">
        <v>202</v>
      </c>
      <c r="I254" t="s">
        <v>36</v>
      </c>
    </row>
    <row r="255" spans="1:9" x14ac:dyDescent="0.25">
      <c r="A255">
        <v>254</v>
      </c>
      <c r="B255">
        <v>21</v>
      </c>
      <c r="C255" s="3">
        <v>45148</v>
      </c>
      <c r="D255" t="s">
        <v>22</v>
      </c>
      <c r="E255" t="s">
        <v>16</v>
      </c>
      <c r="F255">
        <v>3</v>
      </c>
      <c r="G255" t="s">
        <v>211</v>
      </c>
      <c r="H255" t="s">
        <v>212</v>
      </c>
      <c r="I255" t="s">
        <v>30</v>
      </c>
    </row>
    <row r="256" spans="1:9" x14ac:dyDescent="0.25">
      <c r="A256">
        <v>255</v>
      </c>
      <c r="B256">
        <v>21</v>
      </c>
      <c r="C256" s="3">
        <v>45148</v>
      </c>
      <c r="D256" t="s">
        <v>22</v>
      </c>
      <c r="E256" t="s">
        <v>16</v>
      </c>
      <c r="F256">
        <v>3</v>
      </c>
      <c r="G256" t="s">
        <v>31</v>
      </c>
      <c r="H256" t="s">
        <v>32</v>
      </c>
      <c r="I256" t="s">
        <v>33</v>
      </c>
    </row>
    <row r="257" spans="1:9" x14ac:dyDescent="0.25">
      <c r="A257">
        <v>256</v>
      </c>
      <c r="B257">
        <v>21</v>
      </c>
      <c r="C257" s="3">
        <v>45148</v>
      </c>
      <c r="D257" t="s">
        <v>22</v>
      </c>
      <c r="E257" t="s">
        <v>16</v>
      </c>
      <c r="F257">
        <v>3</v>
      </c>
      <c r="G257" t="s">
        <v>187</v>
      </c>
      <c r="H257" t="s">
        <v>188</v>
      </c>
      <c r="I257" t="s">
        <v>30</v>
      </c>
    </row>
    <row r="258" spans="1:9" x14ac:dyDescent="0.25">
      <c r="A258">
        <v>257</v>
      </c>
      <c r="B258">
        <v>21</v>
      </c>
      <c r="C258" s="3">
        <v>45148</v>
      </c>
      <c r="D258" t="s">
        <v>22</v>
      </c>
      <c r="E258" t="s">
        <v>16</v>
      </c>
      <c r="F258">
        <v>3</v>
      </c>
      <c r="G258" t="s">
        <v>215</v>
      </c>
      <c r="H258" t="s">
        <v>216</v>
      </c>
      <c r="I258" t="s">
        <v>30</v>
      </c>
    </row>
    <row r="259" spans="1:9" x14ac:dyDescent="0.25">
      <c r="A259">
        <v>258</v>
      </c>
      <c r="B259">
        <v>21</v>
      </c>
      <c r="C259" s="3">
        <v>45148</v>
      </c>
      <c r="D259" t="s">
        <v>22</v>
      </c>
      <c r="E259" t="s">
        <v>16</v>
      </c>
      <c r="F259">
        <v>3</v>
      </c>
      <c r="G259" t="s">
        <v>161</v>
      </c>
      <c r="H259" t="s">
        <v>162</v>
      </c>
      <c r="I259" t="s">
        <v>30</v>
      </c>
    </row>
    <row r="260" spans="1:9" x14ac:dyDescent="0.25">
      <c r="A260">
        <v>259</v>
      </c>
      <c r="B260">
        <v>21</v>
      </c>
      <c r="C260" s="3">
        <v>45148</v>
      </c>
      <c r="D260" t="s">
        <v>22</v>
      </c>
      <c r="E260" t="s">
        <v>16</v>
      </c>
      <c r="F260">
        <v>3</v>
      </c>
      <c r="G260" t="s">
        <v>145</v>
      </c>
      <c r="H260" t="s">
        <v>146</v>
      </c>
      <c r="I260" t="s">
        <v>30</v>
      </c>
    </row>
    <row r="261" spans="1:9" x14ac:dyDescent="0.25">
      <c r="A261">
        <v>260</v>
      </c>
      <c r="B261">
        <v>21</v>
      </c>
      <c r="C261" s="3">
        <v>45148</v>
      </c>
      <c r="D261" t="s">
        <v>22</v>
      </c>
      <c r="E261" t="s">
        <v>16</v>
      </c>
      <c r="F261">
        <v>3</v>
      </c>
      <c r="G261" t="s">
        <v>44</v>
      </c>
      <c r="H261" t="s">
        <v>45</v>
      </c>
      <c r="I261" t="s">
        <v>33</v>
      </c>
    </row>
    <row r="262" spans="1:9" x14ac:dyDescent="0.25">
      <c r="A262">
        <v>261</v>
      </c>
      <c r="B262">
        <v>21</v>
      </c>
      <c r="C262" s="3">
        <v>45148</v>
      </c>
      <c r="D262" t="s">
        <v>22</v>
      </c>
      <c r="E262" t="s">
        <v>16</v>
      </c>
      <c r="F262">
        <v>3</v>
      </c>
      <c r="G262" t="s">
        <v>189</v>
      </c>
      <c r="H262" t="s">
        <v>190</v>
      </c>
      <c r="I262" t="s">
        <v>33</v>
      </c>
    </row>
    <row r="263" spans="1:9" x14ac:dyDescent="0.25">
      <c r="A263">
        <v>262</v>
      </c>
      <c r="B263">
        <v>21</v>
      </c>
      <c r="C263" s="3">
        <v>45148</v>
      </c>
      <c r="D263" t="s">
        <v>22</v>
      </c>
      <c r="E263" t="s">
        <v>16</v>
      </c>
      <c r="F263">
        <v>3</v>
      </c>
      <c r="G263" t="s">
        <v>149</v>
      </c>
      <c r="H263" t="s">
        <v>150</v>
      </c>
      <c r="I263" t="s">
        <v>33</v>
      </c>
    </row>
    <row r="264" spans="1:9" x14ac:dyDescent="0.25">
      <c r="A264">
        <v>263</v>
      </c>
      <c r="B264">
        <v>21</v>
      </c>
      <c r="C264" s="3">
        <v>45148</v>
      </c>
      <c r="D264" t="s">
        <v>22</v>
      </c>
      <c r="E264" t="s">
        <v>16</v>
      </c>
      <c r="F264">
        <v>3</v>
      </c>
      <c r="G264" t="s">
        <v>131</v>
      </c>
      <c r="H264" t="s">
        <v>132</v>
      </c>
      <c r="I264" t="s">
        <v>33</v>
      </c>
    </row>
    <row r="265" spans="1:9" x14ac:dyDescent="0.25">
      <c r="A265">
        <v>264</v>
      </c>
      <c r="B265">
        <v>21</v>
      </c>
      <c r="C265" s="3">
        <v>45148</v>
      </c>
      <c r="D265" t="s">
        <v>22</v>
      </c>
      <c r="E265" t="s">
        <v>16</v>
      </c>
      <c r="F265">
        <v>3</v>
      </c>
      <c r="G265" t="s">
        <v>179</v>
      </c>
      <c r="H265" t="s">
        <v>180</v>
      </c>
      <c r="I265" t="s">
        <v>36</v>
      </c>
    </row>
    <row r="266" spans="1:9" x14ac:dyDescent="0.25">
      <c r="A266">
        <v>265</v>
      </c>
      <c r="B266">
        <v>22</v>
      </c>
      <c r="C266" s="3">
        <v>45164</v>
      </c>
      <c r="D266" t="s">
        <v>20</v>
      </c>
      <c r="E266" t="s">
        <v>21</v>
      </c>
      <c r="F266">
        <v>4</v>
      </c>
      <c r="G266" t="s">
        <v>95</v>
      </c>
      <c r="H266" t="s">
        <v>96</v>
      </c>
      <c r="I266" t="s">
        <v>97</v>
      </c>
    </row>
    <row r="267" spans="1:9" x14ac:dyDescent="0.25">
      <c r="A267">
        <v>266</v>
      </c>
      <c r="B267">
        <v>22</v>
      </c>
      <c r="C267" s="3">
        <v>45164</v>
      </c>
      <c r="D267" t="s">
        <v>20</v>
      </c>
      <c r="E267" t="s">
        <v>21</v>
      </c>
      <c r="F267">
        <v>4</v>
      </c>
      <c r="G267" t="s">
        <v>117</v>
      </c>
      <c r="H267" t="s">
        <v>118</v>
      </c>
      <c r="I267" t="s">
        <v>119</v>
      </c>
    </row>
    <row r="268" spans="1:9" x14ac:dyDescent="0.25">
      <c r="A268">
        <v>267</v>
      </c>
      <c r="B268">
        <v>22</v>
      </c>
      <c r="C268" s="3">
        <v>45164</v>
      </c>
      <c r="D268" t="s">
        <v>20</v>
      </c>
      <c r="E268" t="s">
        <v>21</v>
      </c>
      <c r="F268">
        <v>4</v>
      </c>
      <c r="G268" t="s">
        <v>213</v>
      </c>
      <c r="H268" t="s">
        <v>214</v>
      </c>
      <c r="I268" t="s">
        <v>30</v>
      </c>
    </row>
    <row r="269" spans="1:9" x14ac:dyDescent="0.25">
      <c r="A269">
        <v>268</v>
      </c>
      <c r="B269">
        <v>22</v>
      </c>
      <c r="C269" s="3">
        <v>45164</v>
      </c>
      <c r="D269" t="s">
        <v>20</v>
      </c>
      <c r="E269" t="s">
        <v>21</v>
      </c>
      <c r="F269">
        <v>4</v>
      </c>
      <c r="G269" t="s">
        <v>100</v>
      </c>
      <c r="H269" t="s">
        <v>101</v>
      </c>
      <c r="I269" t="s">
        <v>102</v>
      </c>
    </row>
    <row r="270" spans="1:9" x14ac:dyDescent="0.25">
      <c r="A270">
        <v>269</v>
      </c>
      <c r="B270">
        <v>22</v>
      </c>
      <c r="C270" s="3">
        <v>45164</v>
      </c>
      <c r="D270" t="s">
        <v>20</v>
      </c>
      <c r="E270" t="s">
        <v>21</v>
      </c>
      <c r="F270">
        <v>4</v>
      </c>
      <c r="G270" t="s">
        <v>103</v>
      </c>
      <c r="H270" t="s">
        <v>104</v>
      </c>
      <c r="I270" t="s">
        <v>36</v>
      </c>
    </row>
    <row r="271" spans="1:9" x14ac:dyDescent="0.25">
      <c r="A271">
        <v>270</v>
      </c>
      <c r="B271">
        <v>22</v>
      </c>
      <c r="C271" s="3">
        <v>45164</v>
      </c>
      <c r="D271" t="s">
        <v>20</v>
      </c>
      <c r="E271" t="s">
        <v>21</v>
      </c>
      <c r="F271">
        <v>4</v>
      </c>
      <c r="G271" t="s">
        <v>215</v>
      </c>
      <c r="H271" t="s">
        <v>216</v>
      </c>
      <c r="I271" t="s">
        <v>30</v>
      </c>
    </row>
    <row r="272" spans="1:9" x14ac:dyDescent="0.25">
      <c r="A272">
        <v>271</v>
      </c>
      <c r="B272">
        <v>22</v>
      </c>
      <c r="C272" s="3">
        <v>45164</v>
      </c>
      <c r="D272" t="s">
        <v>20</v>
      </c>
      <c r="E272" t="s">
        <v>21</v>
      </c>
      <c r="F272">
        <v>4</v>
      </c>
      <c r="G272" t="s">
        <v>147</v>
      </c>
      <c r="H272" t="s">
        <v>148</v>
      </c>
      <c r="I272" t="s">
        <v>30</v>
      </c>
    </row>
    <row r="273" spans="1:9" x14ac:dyDescent="0.25">
      <c r="A273">
        <v>272</v>
      </c>
      <c r="B273">
        <v>22</v>
      </c>
      <c r="C273" s="3">
        <v>45164</v>
      </c>
      <c r="D273" t="s">
        <v>20</v>
      </c>
      <c r="E273" t="s">
        <v>21</v>
      </c>
      <c r="F273">
        <v>4</v>
      </c>
      <c r="G273" t="s">
        <v>221</v>
      </c>
      <c r="H273" t="s">
        <v>222</v>
      </c>
      <c r="I273" t="s">
        <v>30</v>
      </c>
    </row>
    <row r="274" spans="1:9" x14ac:dyDescent="0.25">
      <c r="A274">
        <v>273</v>
      </c>
      <c r="B274">
        <v>22</v>
      </c>
      <c r="C274" s="3">
        <v>45164</v>
      </c>
      <c r="D274" t="s">
        <v>20</v>
      </c>
      <c r="E274" t="s">
        <v>21</v>
      </c>
      <c r="F274">
        <v>4</v>
      </c>
      <c r="G274" t="s">
        <v>87</v>
      </c>
      <c r="H274" t="s">
        <v>88</v>
      </c>
      <c r="I274" t="s">
        <v>80</v>
      </c>
    </row>
    <row r="275" spans="1:9" x14ac:dyDescent="0.25">
      <c r="A275">
        <v>274</v>
      </c>
      <c r="B275">
        <v>22</v>
      </c>
      <c r="C275" s="3">
        <v>45164</v>
      </c>
      <c r="D275" t="s">
        <v>20</v>
      </c>
      <c r="E275" t="s">
        <v>21</v>
      </c>
      <c r="F275">
        <v>4</v>
      </c>
      <c r="G275" t="s">
        <v>193</v>
      </c>
      <c r="H275" t="s">
        <v>194</v>
      </c>
      <c r="I275" t="s">
        <v>36</v>
      </c>
    </row>
    <row r="276" spans="1:9" x14ac:dyDescent="0.25">
      <c r="A276">
        <v>275</v>
      </c>
      <c r="B276">
        <v>22</v>
      </c>
      <c r="C276" s="3">
        <v>45164</v>
      </c>
      <c r="D276" t="s">
        <v>20</v>
      </c>
      <c r="E276" t="s">
        <v>21</v>
      </c>
      <c r="F276">
        <v>4</v>
      </c>
      <c r="G276" t="s">
        <v>91</v>
      </c>
      <c r="H276" t="s">
        <v>92</v>
      </c>
      <c r="I276" t="s">
        <v>80</v>
      </c>
    </row>
    <row r="277" spans="1:9" x14ac:dyDescent="0.25">
      <c r="A277">
        <v>276</v>
      </c>
      <c r="B277">
        <v>22</v>
      </c>
      <c r="C277" s="3">
        <v>45164</v>
      </c>
      <c r="D277" t="s">
        <v>20</v>
      </c>
      <c r="E277" t="s">
        <v>21</v>
      </c>
      <c r="F277">
        <v>4</v>
      </c>
      <c r="G277" t="s">
        <v>197</v>
      </c>
      <c r="H277" t="s">
        <v>198</v>
      </c>
      <c r="I277" t="s">
        <v>80</v>
      </c>
    </row>
    <row r="278" spans="1:9" x14ac:dyDescent="0.25">
      <c r="A278">
        <v>277</v>
      </c>
      <c r="B278">
        <v>22</v>
      </c>
      <c r="C278" s="3">
        <v>45164</v>
      </c>
      <c r="D278" t="s">
        <v>20</v>
      </c>
      <c r="E278" t="s">
        <v>21</v>
      </c>
      <c r="F278">
        <v>4</v>
      </c>
      <c r="G278" t="s">
        <v>169</v>
      </c>
      <c r="H278" t="s">
        <v>170</v>
      </c>
      <c r="I278" t="s">
        <v>122</v>
      </c>
    </row>
    <row r="279" spans="1:9" x14ac:dyDescent="0.25">
      <c r="A279">
        <v>278</v>
      </c>
      <c r="B279">
        <v>22</v>
      </c>
      <c r="C279" s="3">
        <v>45164</v>
      </c>
      <c r="D279" t="s">
        <v>20</v>
      </c>
      <c r="E279" t="s">
        <v>21</v>
      </c>
      <c r="F279">
        <v>4</v>
      </c>
      <c r="G279" t="s">
        <v>201</v>
      </c>
      <c r="H279" t="s">
        <v>202</v>
      </c>
      <c r="I279" t="s">
        <v>36</v>
      </c>
    </row>
    <row r="280" spans="1:9" x14ac:dyDescent="0.25">
      <c r="A280">
        <v>279</v>
      </c>
      <c r="B280">
        <v>22</v>
      </c>
      <c r="C280" s="3">
        <v>45164</v>
      </c>
      <c r="D280" t="s">
        <v>20</v>
      </c>
      <c r="E280" t="s">
        <v>21</v>
      </c>
      <c r="F280">
        <v>4</v>
      </c>
      <c r="G280" t="s">
        <v>141</v>
      </c>
      <c r="H280" t="s">
        <v>142</v>
      </c>
      <c r="I280" t="s">
        <v>122</v>
      </c>
    </row>
    <row r="281" spans="1:9" x14ac:dyDescent="0.25">
      <c r="A281">
        <v>280</v>
      </c>
      <c r="B281">
        <v>23</v>
      </c>
      <c r="C281" s="3">
        <v>45177</v>
      </c>
      <c r="D281" t="s">
        <v>7</v>
      </c>
      <c r="E281" t="s">
        <v>8</v>
      </c>
      <c r="F281">
        <v>4</v>
      </c>
      <c r="G281" t="s">
        <v>34</v>
      </c>
      <c r="H281" t="s">
        <v>35</v>
      </c>
      <c r="I281" t="s">
        <v>36</v>
      </c>
    </row>
    <row r="282" spans="1:9" x14ac:dyDescent="0.25">
      <c r="A282">
        <v>281</v>
      </c>
      <c r="B282">
        <v>23</v>
      </c>
      <c r="C282" s="3">
        <v>45177</v>
      </c>
      <c r="D282" t="s">
        <v>7</v>
      </c>
      <c r="E282" t="s">
        <v>8</v>
      </c>
      <c r="F282">
        <v>4</v>
      </c>
      <c r="G282" t="s">
        <v>223</v>
      </c>
      <c r="H282" t="s">
        <v>224</v>
      </c>
      <c r="I282" t="s">
        <v>30</v>
      </c>
    </row>
    <row r="283" spans="1:9" x14ac:dyDescent="0.25">
      <c r="A283">
        <v>282</v>
      </c>
      <c r="B283">
        <v>23</v>
      </c>
      <c r="C283" s="3">
        <v>45177</v>
      </c>
      <c r="D283" t="s">
        <v>7</v>
      </c>
      <c r="E283" t="s">
        <v>8</v>
      </c>
      <c r="F283">
        <v>4</v>
      </c>
      <c r="G283" t="s">
        <v>225</v>
      </c>
      <c r="H283" t="s">
        <v>226</v>
      </c>
      <c r="I283" t="s">
        <v>30</v>
      </c>
    </row>
    <row r="284" spans="1:9" x14ac:dyDescent="0.25">
      <c r="A284">
        <v>283</v>
      </c>
      <c r="B284">
        <v>23</v>
      </c>
      <c r="C284" s="3">
        <v>45177</v>
      </c>
      <c r="D284" t="s">
        <v>7</v>
      </c>
      <c r="E284" t="s">
        <v>8</v>
      </c>
      <c r="F284">
        <v>4</v>
      </c>
      <c r="G284" t="s">
        <v>143</v>
      </c>
      <c r="H284" t="s">
        <v>144</v>
      </c>
      <c r="I284" t="s">
        <v>30</v>
      </c>
    </row>
    <row r="285" spans="1:9" x14ac:dyDescent="0.25">
      <c r="A285">
        <v>284</v>
      </c>
      <c r="B285">
        <v>23</v>
      </c>
      <c r="C285" s="3">
        <v>45177</v>
      </c>
      <c r="D285" t="s">
        <v>7</v>
      </c>
      <c r="E285" t="s">
        <v>8</v>
      </c>
      <c r="F285">
        <v>4</v>
      </c>
      <c r="G285" t="s">
        <v>68</v>
      </c>
      <c r="H285" t="s">
        <v>69</v>
      </c>
      <c r="I285" t="s">
        <v>36</v>
      </c>
    </row>
    <row r="286" spans="1:9" x14ac:dyDescent="0.25">
      <c r="A286">
        <v>285</v>
      </c>
      <c r="B286">
        <v>23</v>
      </c>
      <c r="C286" s="3">
        <v>45177</v>
      </c>
      <c r="D286" t="s">
        <v>7</v>
      </c>
      <c r="E286" t="s">
        <v>8</v>
      </c>
      <c r="F286">
        <v>4</v>
      </c>
      <c r="G286" t="s">
        <v>103</v>
      </c>
      <c r="H286" t="s">
        <v>104</v>
      </c>
      <c r="I286" t="s">
        <v>36</v>
      </c>
    </row>
    <row r="287" spans="1:9" x14ac:dyDescent="0.25">
      <c r="A287">
        <v>286</v>
      </c>
      <c r="B287">
        <v>23</v>
      </c>
      <c r="C287" s="3">
        <v>45177</v>
      </c>
      <c r="D287" t="s">
        <v>7</v>
      </c>
      <c r="E287" t="s">
        <v>8</v>
      </c>
      <c r="F287">
        <v>4</v>
      </c>
      <c r="G287" t="s">
        <v>41</v>
      </c>
      <c r="H287" t="s">
        <v>42</v>
      </c>
      <c r="I287" t="s">
        <v>43</v>
      </c>
    </row>
    <row r="288" spans="1:9" x14ac:dyDescent="0.25">
      <c r="A288">
        <v>287</v>
      </c>
      <c r="B288">
        <v>23</v>
      </c>
      <c r="C288" s="3">
        <v>45177</v>
      </c>
      <c r="D288" t="s">
        <v>7</v>
      </c>
      <c r="E288" t="s">
        <v>8</v>
      </c>
      <c r="F288">
        <v>4</v>
      </c>
      <c r="G288" t="s">
        <v>72</v>
      </c>
      <c r="H288" t="s">
        <v>73</v>
      </c>
      <c r="I288" t="s">
        <v>43</v>
      </c>
    </row>
    <row r="289" spans="1:9" x14ac:dyDescent="0.25">
      <c r="A289">
        <v>288</v>
      </c>
      <c r="B289">
        <v>23</v>
      </c>
      <c r="C289" s="3">
        <v>45177</v>
      </c>
      <c r="D289" t="s">
        <v>7</v>
      </c>
      <c r="E289" t="s">
        <v>8</v>
      </c>
      <c r="F289">
        <v>4</v>
      </c>
      <c r="G289" t="s">
        <v>159</v>
      </c>
      <c r="H289" t="s">
        <v>160</v>
      </c>
      <c r="I289" t="s">
        <v>36</v>
      </c>
    </row>
    <row r="290" spans="1:9" x14ac:dyDescent="0.25">
      <c r="A290">
        <v>289</v>
      </c>
      <c r="B290">
        <v>23</v>
      </c>
      <c r="C290" s="3">
        <v>45177</v>
      </c>
      <c r="D290" t="s">
        <v>7</v>
      </c>
      <c r="E290" t="s">
        <v>8</v>
      </c>
      <c r="F290">
        <v>4</v>
      </c>
      <c r="G290" t="s">
        <v>139</v>
      </c>
      <c r="H290" t="s">
        <v>140</v>
      </c>
      <c r="I290" t="s">
        <v>36</v>
      </c>
    </row>
    <row r="291" spans="1:9" x14ac:dyDescent="0.25">
      <c r="A291">
        <v>290</v>
      </c>
      <c r="B291">
        <v>23</v>
      </c>
      <c r="C291" s="3">
        <v>45177</v>
      </c>
      <c r="D291" t="s">
        <v>7</v>
      </c>
      <c r="E291" t="s">
        <v>8</v>
      </c>
      <c r="F291">
        <v>4</v>
      </c>
      <c r="G291" t="s">
        <v>115</v>
      </c>
      <c r="H291" t="s">
        <v>116</v>
      </c>
      <c r="I291" t="s">
        <v>36</v>
      </c>
    </row>
    <row r="292" spans="1:9" x14ac:dyDescent="0.25">
      <c r="A292">
        <v>291</v>
      </c>
      <c r="B292">
        <v>23</v>
      </c>
      <c r="C292" s="3">
        <v>45177</v>
      </c>
      <c r="D292" t="s">
        <v>7</v>
      </c>
      <c r="E292" t="s">
        <v>8</v>
      </c>
      <c r="F292">
        <v>4</v>
      </c>
      <c r="G292" t="s">
        <v>62</v>
      </c>
      <c r="H292" t="s">
        <v>63</v>
      </c>
      <c r="I292" t="s">
        <v>36</v>
      </c>
    </row>
    <row r="293" spans="1:9" x14ac:dyDescent="0.25">
      <c r="A293">
        <v>292</v>
      </c>
      <c r="B293">
        <v>23</v>
      </c>
      <c r="C293" s="3">
        <v>45177</v>
      </c>
      <c r="D293" t="s">
        <v>7</v>
      </c>
      <c r="E293" t="s">
        <v>8</v>
      </c>
      <c r="F293">
        <v>4</v>
      </c>
      <c r="G293" t="s">
        <v>201</v>
      </c>
      <c r="H293" t="s">
        <v>202</v>
      </c>
      <c r="I293" t="s">
        <v>36</v>
      </c>
    </row>
    <row r="294" spans="1:9" x14ac:dyDescent="0.25">
      <c r="A294">
        <v>293</v>
      </c>
      <c r="B294">
        <v>23</v>
      </c>
      <c r="C294" s="3">
        <v>45177</v>
      </c>
      <c r="D294" t="s">
        <v>7</v>
      </c>
      <c r="E294" t="s">
        <v>8</v>
      </c>
      <c r="F294">
        <v>4</v>
      </c>
      <c r="G294" t="s">
        <v>179</v>
      </c>
      <c r="H294" t="s">
        <v>180</v>
      </c>
      <c r="I294" t="s">
        <v>36</v>
      </c>
    </row>
    <row r="295" spans="1:9" x14ac:dyDescent="0.25">
      <c r="A295">
        <v>294</v>
      </c>
      <c r="B295">
        <v>24</v>
      </c>
      <c r="C295" s="3">
        <v>45193</v>
      </c>
      <c r="D295" t="s">
        <v>19</v>
      </c>
      <c r="E295" t="s">
        <v>18</v>
      </c>
      <c r="F295">
        <v>4</v>
      </c>
      <c r="G295" t="s">
        <v>31</v>
      </c>
      <c r="H295" t="s">
        <v>32</v>
      </c>
      <c r="I295" t="s">
        <v>33</v>
      </c>
    </row>
    <row r="296" spans="1:9" x14ac:dyDescent="0.25">
      <c r="A296">
        <v>295</v>
      </c>
      <c r="B296">
        <v>24</v>
      </c>
      <c r="C296" s="3">
        <v>45193</v>
      </c>
      <c r="D296" t="s">
        <v>19</v>
      </c>
      <c r="E296" t="s">
        <v>18</v>
      </c>
      <c r="F296">
        <v>4</v>
      </c>
      <c r="G296" t="s">
        <v>223</v>
      </c>
      <c r="H296" t="s">
        <v>224</v>
      </c>
      <c r="I296" t="s">
        <v>30</v>
      </c>
    </row>
    <row r="297" spans="1:9" x14ac:dyDescent="0.25">
      <c r="A297">
        <v>296</v>
      </c>
      <c r="B297">
        <v>24</v>
      </c>
      <c r="C297" s="3">
        <v>45193</v>
      </c>
      <c r="D297" t="s">
        <v>19</v>
      </c>
      <c r="E297" t="s">
        <v>18</v>
      </c>
      <c r="F297">
        <v>4</v>
      </c>
      <c r="G297" t="s">
        <v>157</v>
      </c>
      <c r="H297" t="s">
        <v>158</v>
      </c>
      <c r="I297" t="s">
        <v>102</v>
      </c>
    </row>
    <row r="298" spans="1:9" x14ac:dyDescent="0.25">
      <c r="A298">
        <v>297</v>
      </c>
      <c r="B298">
        <v>24</v>
      </c>
      <c r="C298" s="3">
        <v>45193</v>
      </c>
      <c r="D298" t="s">
        <v>19</v>
      </c>
      <c r="E298" t="s">
        <v>18</v>
      </c>
      <c r="F298">
        <v>4</v>
      </c>
      <c r="G298" t="s">
        <v>215</v>
      </c>
      <c r="H298" t="s">
        <v>216</v>
      </c>
      <c r="I298" t="s">
        <v>30</v>
      </c>
    </row>
    <row r="299" spans="1:9" x14ac:dyDescent="0.25">
      <c r="A299">
        <v>298</v>
      </c>
      <c r="B299">
        <v>24</v>
      </c>
      <c r="C299" s="3">
        <v>45193</v>
      </c>
      <c r="D299" t="s">
        <v>19</v>
      </c>
      <c r="E299" t="s">
        <v>18</v>
      </c>
      <c r="F299">
        <v>4</v>
      </c>
      <c r="G299" t="s">
        <v>131</v>
      </c>
      <c r="H299" t="s">
        <v>132</v>
      </c>
      <c r="I299" t="s">
        <v>33</v>
      </c>
    </row>
    <row r="300" spans="1:9" x14ac:dyDescent="0.25">
      <c r="A300">
        <v>299</v>
      </c>
      <c r="B300">
        <v>24</v>
      </c>
      <c r="C300" s="3">
        <v>45193</v>
      </c>
      <c r="D300" t="s">
        <v>19</v>
      </c>
      <c r="E300" t="s">
        <v>18</v>
      </c>
      <c r="F300">
        <v>4</v>
      </c>
      <c r="G300" t="s">
        <v>217</v>
      </c>
      <c r="H300" t="s">
        <v>218</v>
      </c>
      <c r="I300" t="s">
        <v>97</v>
      </c>
    </row>
    <row r="301" spans="1:9" x14ac:dyDescent="0.25">
      <c r="A301">
        <v>300</v>
      </c>
      <c r="B301">
        <v>24</v>
      </c>
      <c r="C301" s="3">
        <v>45193</v>
      </c>
      <c r="D301" t="s">
        <v>19</v>
      </c>
      <c r="E301" t="s">
        <v>18</v>
      </c>
      <c r="F301">
        <v>4</v>
      </c>
      <c r="G301" t="s">
        <v>191</v>
      </c>
      <c r="H301" t="s">
        <v>192</v>
      </c>
      <c r="I301" t="s">
        <v>119</v>
      </c>
    </row>
    <row r="302" spans="1:9" x14ac:dyDescent="0.25">
      <c r="A302">
        <v>301</v>
      </c>
      <c r="B302">
        <v>24</v>
      </c>
      <c r="C302" s="3">
        <v>45193</v>
      </c>
      <c r="D302" t="s">
        <v>19</v>
      </c>
      <c r="E302" t="s">
        <v>18</v>
      </c>
      <c r="F302">
        <v>4</v>
      </c>
      <c r="G302" t="s">
        <v>175</v>
      </c>
      <c r="H302" t="s">
        <v>176</v>
      </c>
      <c r="I302" t="s">
        <v>97</v>
      </c>
    </row>
    <row r="303" spans="1:9" x14ac:dyDescent="0.25">
      <c r="A303">
        <v>302</v>
      </c>
      <c r="B303">
        <v>24</v>
      </c>
      <c r="C303" s="3">
        <v>45193</v>
      </c>
      <c r="D303" t="s">
        <v>19</v>
      </c>
      <c r="E303" t="s">
        <v>18</v>
      </c>
      <c r="F303">
        <v>4</v>
      </c>
      <c r="G303" t="s">
        <v>195</v>
      </c>
      <c r="H303" t="s">
        <v>196</v>
      </c>
      <c r="I303" t="s">
        <v>80</v>
      </c>
    </row>
    <row r="304" spans="1:9" x14ac:dyDescent="0.25">
      <c r="A304">
        <v>303</v>
      </c>
      <c r="B304">
        <v>24</v>
      </c>
      <c r="C304" s="3">
        <v>45193</v>
      </c>
      <c r="D304" t="s">
        <v>19</v>
      </c>
      <c r="E304" t="s">
        <v>18</v>
      </c>
      <c r="F304">
        <v>4</v>
      </c>
      <c r="G304" t="s">
        <v>153</v>
      </c>
      <c r="H304" t="s">
        <v>154</v>
      </c>
      <c r="I304" t="s">
        <v>36</v>
      </c>
    </row>
    <row r="305" spans="1:9" x14ac:dyDescent="0.25">
      <c r="A305">
        <v>304</v>
      </c>
      <c r="B305">
        <v>24</v>
      </c>
      <c r="C305" s="3">
        <v>45193</v>
      </c>
      <c r="D305" t="s">
        <v>19</v>
      </c>
      <c r="E305" t="s">
        <v>18</v>
      </c>
      <c r="F305">
        <v>4</v>
      </c>
      <c r="G305" t="s">
        <v>227</v>
      </c>
      <c r="H305" t="s">
        <v>228</v>
      </c>
      <c r="I305" t="s">
        <v>80</v>
      </c>
    </row>
    <row r="306" spans="1:9" x14ac:dyDescent="0.25">
      <c r="A306">
        <v>305</v>
      </c>
      <c r="B306">
        <v>24</v>
      </c>
      <c r="C306" s="3">
        <v>45193</v>
      </c>
      <c r="D306" t="s">
        <v>19</v>
      </c>
      <c r="E306" t="s">
        <v>18</v>
      </c>
      <c r="F306">
        <v>4</v>
      </c>
      <c r="G306" t="s">
        <v>177</v>
      </c>
      <c r="H306" t="s">
        <v>178</v>
      </c>
      <c r="I306" t="s">
        <v>36</v>
      </c>
    </row>
    <row r="307" spans="1:9" x14ac:dyDescent="0.25">
      <c r="A307">
        <v>306</v>
      </c>
      <c r="B307">
        <v>25</v>
      </c>
      <c r="C307" s="3">
        <v>45213</v>
      </c>
      <c r="D307" t="s">
        <v>19</v>
      </c>
      <c r="E307" t="s">
        <v>18</v>
      </c>
      <c r="F307">
        <v>2</v>
      </c>
      <c r="G307" t="s">
        <v>95</v>
      </c>
      <c r="H307" t="s">
        <v>96</v>
      </c>
      <c r="I307" t="s">
        <v>97</v>
      </c>
    </row>
    <row r="308" spans="1:9" x14ac:dyDescent="0.25">
      <c r="A308">
        <v>307</v>
      </c>
      <c r="B308">
        <v>25</v>
      </c>
      <c r="C308" s="3">
        <v>45213</v>
      </c>
      <c r="D308" t="s">
        <v>19</v>
      </c>
      <c r="E308" t="s">
        <v>18</v>
      </c>
      <c r="F308">
        <v>2</v>
      </c>
      <c r="G308" t="s">
        <v>31</v>
      </c>
      <c r="H308" t="s">
        <v>32</v>
      </c>
      <c r="I308" t="s">
        <v>33</v>
      </c>
    </row>
    <row r="309" spans="1:9" x14ac:dyDescent="0.25">
      <c r="A309">
        <v>308</v>
      </c>
      <c r="B309">
        <v>25</v>
      </c>
      <c r="C309" s="3">
        <v>45213</v>
      </c>
      <c r="D309" t="s">
        <v>19</v>
      </c>
      <c r="E309" t="s">
        <v>18</v>
      </c>
      <c r="F309">
        <v>2</v>
      </c>
      <c r="G309" t="s">
        <v>34</v>
      </c>
      <c r="H309" t="s">
        <v>35</v>
      </c>
      <c r="I309" t="s">
        <v>36</v>
      </c>
    </row>
    <row r="310" spans="1:9" x14ac:dyDescent="0.25">
      <c r="A310">
        <v>309</v>
      </c>
      <c r="B310">
        <v>25</v>
      </c>
      <c r="C310" s="3">
        <v>45213</v>
      </c>
      <c r="D310" t="s">
        <v>19</v>
      </c>
      <c r="E310" t="s">
        <v>18</v>
      </c>
      <c r="F310">
        <v>2</v>
      </c>
      <c r="G310" t="s">
        <v>223</v>
      </c>
      <c r="H310" t="s">
        <v>224</v>
      </c>
      <c r="I310" t="s">
        <v>30</v>
      </c>
    </row>
    <row r="311" spans="1:9" x14ac:dyDescent="0.25">
      <c r="A311">
        <v>310</v>
      </c>
      <c r="B311">
        <v>25</v>
      </c>
      <c r="C311" s="3">
        <v>45213</v>
      </c>
      <c r="D311" t="s">
        <v>19</v>
      </c>
      <c r="E311" t="s">
        <v>18</v>
      </c>
      <c r="F311">
        <v>2</v>
      </c>
      <c r="G311" t="s">
        <v>100</v>
      </c>
      <c r="H311" t="s">
        <v>101</v>
      </c>
      <c r="I311" t="s">
        <v>102</v>
      </c>
    </row>
    <row r="312" spans="1:9" x14ac:dyDescent="0.25">
      <c r="A312">
        <v>311</v>
      </c>
      <c r="B312">
        <v>25</v>
      </c>
      <c r="C312" s="3">
        <v>45213</v>
      </c>
      <c r="D312" t="s">
        <v>19</v>
      </c>
      <c r="E312" t="s">
        <v>18</v>
      </c>
      <c r="F312">
        <v>2</v>
      </c>
      <c r="G312" t="s">
        <v>125</v>
      </c>
      <c r="H312" t="s">
        <v>126</v>
      </c>
      <c r="I312" t="s">
        <v>97</v>
      </c>
    </row>
    <row r="313" spans="1:9" x14ac:dyDescent="0.25">
      <c r="A313">
        <v>312</v>
      </c>
      <c r="B313">
        <v>25</v>
      </c>
      <c r="C313" s="3">
        <v>45213</v>
      </c>
      <c r="D313" t="s">
        <v>19</v>
      </c>
      <c r="E313" t="s">
        <v>18</v>
      </c>
      <c r="F313">
        <v>2</v>
      </c>
      <c r="G313" t="s">
        <v>145</v>
      </c>
      <c r="H313" t="s">
        <v>146</v>
      </c>
      <c r="I313" t="s">
        <v>30</v>
      </c>
    </row>
    <row r="314" spans="1:9" x14ac:dyDescent="0.25">
      <c r="A314">
        <v>313</v>
      </c>
      <c r="B314">
        <v>25</v>
      </c>
      <c r="C314" s="3">
        <v>45213</v>
      </c>
      <c r="D314" t="s">
        <v>19</v>
      </c>
      <c r="E314" t="s">
        <v>18</v>
      </c>
      <c r="F314">
        <v>2</v>
      </c>
      <c r="G314" t="s">
        <v>41</v>
      </c>
      <c r="H314" t="s">
        <v>42</v>
      </c>
      <c r="I314" t="s">
        <v>43</v>
      </c>
    </row>
    <row r="315" spans="1:9" x14ac:dyDescent="0.25">
      <c r="A315">
        <v>314</v>
      </c>
      <c r="B315">
        <v>25</v>
      </c>
      <c r="C315" s="3">
        <v>45213</v>
      </c>
      <c r="D315" t="s">
        <v>19</v>
      </c>
      <c r="E315" t="s">
        <v>18</v>
      </c>
      <c r="F315">
        <v>2</v>
      </c>
      <c r="G315" t="s">
        <v>44</v>
      </c>
      <c r="H315" t="s">
        <v>45</v>
      </c>
      <c r="I315" t="s">
        <v>33</v>
      </c>
    </row>
    <row r="316" spans="1:9" x14ac:dyDescent="0.25">
      <c r="A316">
        <v>315</v>
      </c>
      <c r="B316">
        <v>25</v>
      </c>
      <c r="C316" s="3">
        <v>45213</v>
      </c>
      <c r="D316" t="s">
        <v>19</v>
      </c>
      <c r="E316" t="s">
        <v>18</v>
      </c>
      <c r="F316">
        <v>2</v>
      </c>
      <c r="G316" t="s">
        <v>50</v>
      </c>
      <c r="H316" t="s">
        <v>51</v>
      </c>
      <c r="I316" t="s">
        <v>30</v>
      </c>
    </row>
    <row r="317" spans="1:9" x14ac:dyDescent="0.25">
      <c r="A317">
        <v>316</v>
      </c>
      <c r="B317">
        <v>25</v>
      </c>
      <c r="C317" s="3">
        <v>45213</v>
      </c>
      <c r="D317" t="s">
        <v>19</v>
      </c>
      <c r="E317" t="s">
        <v>18</v>
      </c>
      <c r="F317">
        <v>2</v>
      </c>
      <c r="G317" t="s">
        <v>163</v>
      </c>
      <c r="H317" t="s">
        <v>164</v>
      </c>
      <c r="I317" t="s">
        <v>102</v>
      </c>
    </row>
    <row r="318" spans="1:9" x14ac:dyDescent="0.25">
      <c r="A318">
        <v>317</v>
      </c>
      <c r="B318">
        <v>25</v>
      </c>
      <c r="C318" s="3">
        <v>45213</v>
      </c>
      <c r="D318" t="s">
        <v>19</v>
      </c>
      <c r="E318" t="s">
        <v>18</v>
      </c>
      <c r="F318">
        <v>2</v>
      </c>
      <c r="G318" t="s">
        <v>72</v>
      </c>
      <c r="H318" t="s">
        <v>73</v>
      </c>
      <c r="I318" t="s">
        <v>43</v>
      </c>
    </row>
    <row r="319" spans="1:9" x14ac:dyDescent="0.25">
      <c r="A319">
        <v>318</v>
      </c>
      <c r="B319">
        <v>25</v>
      </c>
      <c r="C319" s="3">
        <v>45213</v>
      </c>
      <c r="D319" t="s">
        <v>19</v>
      </c>
      <c r="E319" t="s">
        <v>18</v>
      </c>
      <c r="F319">
        <v>2</v>
      </c>
      <c r="G319" t="s">
        <v>113</v>
      </c>
      <c r="H319" t="s">
        <v>114</v>
      </c>
      <c r="I319" t="s">
        <v>36</v>
      </c>
    </row>
    <row r="320" spans="1:9" x14ac:dyDescent="0.25">
      <c r="A320">
        <v>319</v>
      </c>
      <c r="B320">
        <v>25</v>
      </c>
      <c r="C320" s="3">
        <v>45213</v>
      </c>
      <c r="D320" t="s">
        <v>19</v>
      </c>
      <c r="E320" t="s">
        <v>18</v>
      </c>
      <c r="F320">
        <v>2</v>
      </c>
      <c r="G320" t="s">
        <v>219</v>
      </c>
      <c r="H320" t="s">
        <v>220</v>
      </c>
      <c r="I320" t="s">
        <v>122</v>
      </c>
    </row>
    <row r="321" spans="1:9" x14ac:dyDescent="0.25">
      <c r="A321">
        <v>320</v>
      </c>
      <c r="B321">
        <v>25</v>
      </c>
      <c r="C321" s="3">
        <v>45213</v>
      </c>
      <c r="D321" t="s">
        <v>19</v>
      </c>
      <c r="E321" t="s">
        <v>18</v>
      </c>
      <c r="F321">
        <v>2</v>
      </c>
      <c r="G321" t="s">
        <v>137</v>
      </c>
      <c r="H321" t="s">
        <v>138</v>
      </c>
      <c r="I321" t="s">
        <v>43</v>
      </c>
    </row>
    <row r="322" spans="1:9" x14ac:dyDescent="0.25">
      <c r="A322">
        <v>321</v>
      </c>
      <c r="B322">
        <v>25</v>
      </c>
      <c r="C322" s="3">
        <v>45213</v>
      </c>
      <c r="D322" t="s">
        <v>19</v>
      </c>
      <c r="E322" t="s">
        <v>18</v>
      </c>
      <c r="F322">
        <v>2</v>
      </c>
      <c r="G322" t="s">
        <v>155</v>
      </c>
      <c r="H322" t="s">
        <v>156</v>
      </c>
      <c r="I322" t="s">
        <v>80</v>
      </c>
    </row>
    <row r="323" spans="1:9" x14ac:dyDescent="0.25">
      <c r="A323">
        <v>322</v>
      </c>
      <c r="B323">
        <v>26</v>
      </c>
      <c r="C323" s="3">
        <v>45218</v>
      </c>
      <c r="D323" t="s">
        <v>9</v>
      </c>
      <c r="E323" t="s">
        <v>10</v>
      </c>
      <c r="F323">
        <v>4</v>
      </c>
      <c r="G323" t="s">
        <v>31</v>
      </c>
      <c r="H323" t="s">
        <v>32</v>
      </c>
      <c r="I323" t="s">
        <v>33</v>
      </c>
    </row>
    <row r="324" spans="1:9" x14ac:dyDescent="0.25">
      <c r="A324">
        <v>323</v>
      </c>
      <c r="B324">
        <v>26</v>
      </c>
      <c r="C324" s="3">
        <v>45218</v>
      </c>
      <c r="D324" t="s">
        <v>9</v>
      </c>
      <c r="E324" t="s">
        <v>10</v>
      </c>
      <c r="F324">
        <v>4</v>
      </c>
      <c r="G324" t="s">
        <v>78</v>
      </c>
      <c r="H324" t="s">
        <v>79</v>
      </c>
      <c r="I324" t="s">
        <v>80</v>
      </c>
    </row>
    <row r="325" spans="1:9" x14ac:dyDescent="0.25">
      <c r="A325">
        <v>324</v>
      </c>
      <c r="B325">
        <v>26</v>
      </c>
      <c r="C325" s="3">
        <v>45218</v>
      </c>
      <c r="D325" t="s">
        <v>9</v>
      </c>
      <c r="E325" t="s">
        <v>10</v>
      </c>
      <c r="F325">
        <v>4</v>
      </c>
      <c r="G325" t="s">
        <v>181</v>
      </c>
      <c r="H325" t="s">
        <v>182</v>
      </c>
      <c r="I325" t="s">
        <v>30</v>
      </c>
    </row>
    <row r="326" spans="1:9" x14ac:dyDescent="0.25">
      <c r="A326">
        <v>325</v>
      </c>
      <c r="B326">
        <v>26</v>
      </c>
      <c r="C326" s="3">
        <v>45218</v>
      </c>
      <c r="D326" t="s">
        <v>9</v>
      </c>
      <c r="E326" t="s">
        <v>10</v>
      </c>
      <c r="F326">
        <v>4</v>
      </c>
      <c r="G326" t="s">
        <v>44</v>
      </c>
      <c r="H326" t="s">
        <v>45</v>
      </c>
      <c r="I326" t="s">
        <v>33</v>
      </c>
    </row>
    <row r="327" spans="1:9" x14ac:dyDescent="0.25">
      <c r="A327">
        <v>326</v>
      </c>
      <c r="B327">
        <v>26</v>
      </c>
      <c r="C327" s="3">
        <v>45218</v>
      </c>
      <c r="D327" t="s">
        <v>9</v>
      </c>
      <c r="E327" t="s">
        <v>10</v>
      </c>
      <c r="F327">
        <v>4</v>
      </c>
      <c r="G327" t="s">
        <v>189</v>
      </c>
      <c r="H327" t="s">
        <v>190</v>
      </c>
      <c r="I327" t="s">
        <v>33</v>
      </c>
    </row>
    <row r="328" spans="1:9" x14ac:dyDescent="0.25">
      <c r="A328">
        <v>327</v>
      </c>
      <c r="B328">
        <v>26</v>
      </c>
      <c r="C328" s="3">
        <v>45218</v>
      </c>
      <c r="D328" t="s">
        <v>9</v>
      </c>
      <c r="E328" t="s">
        <v>10</v>
      </c>
      <c r="F328">
        <v>4</v>
      </c>
      <c r="G328" t="s">
        <v>81</v>
      </c>
      <c r="H328" t="s">
        <v>82</v>
      </c>
      <c r="I328" t="s">
        <v>80</v>
      </c>
    </row>
    <row r="329" spans="1:9" x14ac:dyDescent="0.25">
      <c r="A329">
        <v>328</v>
      </c>
      <c r="B329">
        <v>26</v>
      </c>
      <c r="C329" s="3">
        <v>45218</v>
      </c>
      <c r="D329" t="s">
        <v>9</v>
      </c>
      <c r="E329" t="s">
        <v>10</v>
      </c>
      <c r="F329">
        <v>4</v>
      </c>
      <c r="G329" t="s">
        <v>151</v>
      </c>
      <c r="H329" t="s">
        <v>152</v>
      </c>
      <c r="I329" t="s">
        <v>80</v>
      </c>
    </row>
    <row r="330" spans="1:9" x14ac:dyDescent="0.25">
      <c r="A330">
        <v>329</v>
      </c>
      <c r="B330">
        <v>26</v>
      </c>
      <c r="C330" s="3">
        <v>45218</v>
      </c>
      <c r="D330" t="s">
        <v>9</v>
      </c>
      <c r="E330" t="s">
        <v>10</v>
      </c>
      <c r="F330">
        <v>4</v>
      </c>
      <c r="G330" t="s">
        <v>89</v>
      </c>
      <c r="H330" t="s">
        <v>90</v>
      </c>
      <c r="I330" t="s">
        <v>80</v>
      </c>
    </row>
    <row r="331" spans="1:9" x14ac:dyDescent="0.25">
      <c r="A331">
        <v>330</v>
      </c>
      <c r="B331">
        <v>26</v>
      </c>
      <c r="C331" s="3">
        <v>45218</v>
      </c>
      <c r="D331" t="s">
        <v>9</v>
      </c>
      <c r="E331" t="s">
        <v>10</v>
      </c>
      <c r="F331">
        <v>4</v>
      </c>
      <c r="G331" t="s">
        <v>135</v>
      </c>
      <c r="H331" t="s">
        <v>136</v>
      </c>
      <c r="I331" t="s">
        <v>33</v>
      </c>
    </row>
    <row r="332" spans="1:9" x14ac:dyDescent="0.25">
      <c r="A332">
        <v>331</v>
      </c>
      <c r="B332">
        <v>26</v>
      </c>
      <c r="C332" s="3">
        <v>45218</v>
      </c>
      <c r="D332" t="s">
        <v>9</v>
      </c>
      <c r="E332" t="s">
        <v>10</v>
      </c>
      <c r="F332">
        <v>4</v>
      </c>
      <c r="G332" t="s">
        <v>209</v>
      </c>
      <c r="H332" t="s">
        <v>210</v>
      </c>
      <c r="I332" t="s">
        <v>33</v>
      </c>
    </row>
    <row r="333" spans="1:9" x14ac:dyDescent="0.25">
      <c r="A333">
        <v>332</v>
      </c>
      <c r="B333">
        <v>26</v>
      </c>
      <c r="C333" s="3">
        <v>45218</v>
      </c>
      <c r="D333" t="s">
        <v>9</v>
      </c>
      <c r="E333" t="s">
        <v>10</v>
      </c>
      <c r="F333">
        <v>4</v>
      </c>
      <c r="G333" t="s">
        <v>155</v>
      </c>
      <c r="H333" t="s">
        <v>156</v>
      </c>
      <c r="I333" t="s">
        <v>80</v>
      </c>
    </row>
    <row r="334" spans="1:9" x14ac:dyDescent="0.25">
      <c r="A334">
        <v>333</v>
      </c>
      <c r="B334">
        <v>26</v>
      </c>
      <c r="C334" s="3">
        <v>45218</v>
      </c>
      <c r="D334" t="s">
        <v>9</v>
      </c>
      <c r="E334" t="s">
        <v>10</v>
      </c>
      <c r="F334">
        <v>4</v>
      </c>
      <c r="G334" t="s">
        <v>201</v>
      </c>
      <c r="H334" t="s">
        <v>202</v>
      </c>
      <c r="I334" t="s">
        <v>36</v>
      </c>
    </row>
    <row r="335" spans="1:9" x14ac:dyDescent="0.25">
      <c r="A335">
        <v>334</v>
      </c>
      <c r="B335">
        <v>27</v>
      </c>
      <c r="C335" s="3">
        <v>45220</v>
      </c>
      <c r="D335" t="s">
        <v>13</v>
      </c>
      <c r="E335" t="s">
        <v>14</v>
      </c>
      <c r="F335">
        <v>6</v>
      </c>
      <c r="G335" t="s">
        <v>95</v>
      </c>
      <c r="H335" t="s">
        <v>96</v>
      </c>
      <c r="I335" t="s">
        <v>97</v>
      </c>
    </row>
    <row r="336" spans="1:9" x14ac:dyDescent="0.25">
      <c r="A336">
        <v>335</v>
      </c>
      <c r="B336">
        <v>27</v>
      </c>
      <c r="C336" s="3">
        <v>45220</v>
      </c>
      <c r="D336" t="s">
        <v>13</v>
      </c>
      <c r="E336" t="s">
        <v>14</v>
      </c>
      <c r="F336">
        <v>6</v>
      </c>
      <c r="G336" t="s">
        <v>211</v>
      </c>
      <c r="H336" t="s">
        <v>212</v>
      </c>
      <c r="I336" t="s">
        <v>30</v>
      </c>
    </row>
    <row r="337" spans="1:9" x14ac:dyDescent="0.25">
      <c r="A337">
        <v>336</v>
      </c>
      <c r="B337">
        <v>27</v>
      </c>
      <c r="C337" s="3">
        <v>45220</v>
      </c>
      <c r="D337" t="s">
        <v>13</v>
      </c>
      <c r="E337" t="s">
        <v>14</v>
      </c>
      <c r="F337">
        <v>6</v>
      </c>
      <c r="G337" t="s">
        <v>117</v>
      </c>
      <c r="H337" t="s">
        <v>118</v>
      </c>
      <c r="I337" t="s">
        <v>119</v>
      </c>
    </row>
    <row r="338" spans="1:9" x14ac:dyDescent="0.25">
      <c r="A338">
        <v>337</v>
      </c>
      <c r="B338">
        <v>27</v>
      </c>
      <c r="C338" s="3">
        <v>45220</v>
      </c>
      <c r="D338" t="s">
        <v>13</v>
      </c>
      <c r="E338" t="s">
        <v>14</v>
      </c>
      <c r="F338">
        <v>6</v>
      </c>
      <c r="G338" t="s">
        <v>213</v>
      </c>
      <c r="H338" t="s">
        <v>214</v>
      </c>
      <c r="I338" t="s">
        <v>30</v>
      </c>
    </row>
    <row r="339" spans="1:9" x14ac:dyDescent="0.25">
      <c r="A339">
        <v>338</v>
      </c>
      <c r="B339">
        <v>27</v>
      </c>
      <c r="C339" s="3">
        <v>45220</v>
      </c>
      <c r="D339" t="s">
        <v>13</v>
      </c>
      <c r="E339" t="s">
        <v>14</v>
      </c>
      <c r="F339">
        <v>6</v>
      </c>
      <c r="G339" t="s">
        <v>225</v>
      </c>
      <c r="H339" t="s">
        <v>226</v>
      </c>
      <c r="I339" t="s">
        <v>30</v>
      </c>
    </row>
    <row r="340" spans="1:9" x14ac:dyDescent="0.25">
      <c r="A340">
        <v>339</v>
      </c>
      <c r="B340">
        <v>27</v>
      </c>
      <c r="C340" s="3">
        <v>45220</v>
      </c>
      <c r="D340" t="s">
        <v>13</v>
      </c>
      <c r="E340" t="s">
        <v>14</v>
      </c>
      <c r="F340">
        <v>6</v>
      </c>
      <c r="G340" t="s">
        <v>125</v>
      </c>
      <c r="H340" t="s">
        <v>126</v>
      </c>
      <c r="I340" t="s">
        <v>97</v>
      </c>
    </row>
    <row r="341" spans="1:9" x14ac:dyDescent="0.25">
      <c r="A341">
        <v>340</v>
      </c>
      <c r="B341">
        <v>27</v>
      </c>
      <c r="C341" s="3">
        <v>45220</v>
      </c>
      <c r="D341" t="s">
        <v>13</v>
      </c>
      <c r="E341" t="s">
        <v>14</v>
      </c>
      <c r="F341">
        <v>6</v>
      </c>
      <c r="G341" t="s">
        <v>173</v>
      </c>
      <c r="H341" t="s">
        <v>174</v>
      </c>
      <c r="I341" t="s">
        <v>119</v>
      </c>
    </row>
    <row r="342" spans="1:9" x14ac:dyDescent="0.25">
      <c r="A342">
        <v>341</v>
      </c>
      <c r="B342">
        <v>27</v>
      </c>
      <c r="C342" s="3">
        <v>45220</v>
      </c>
      <c r="D342" t="s">
        <v>13</v>
      </c>
      <c r="E342" t="s">
        <v>14</v>
      </c>
      <c r="F342">
        <v>6</v>
      </c>
      <c r="G342" t="s">
        <v>221</v>
      </c>
      <c r="H342" t="s">
        <v>222</v>
      </c>
      <c r="I342" t="s">
        <v>30</v>
      </c>
    </row>
    <row r="343" spans="1:9" x14ac:dyDescent="0.25">
      <c r="A343">
        <v>342</v>
      </c>
      <c r="B343">
        <v>27</v>
      </c>
      <c r="C343" s="3">
        <v>45220</v>
      </c>
      <c r="D343" t="s">
        <v>13</v>
      </c>
      <c r="E343" t="s">
        <v>14</v>
      </c>
      <c r="F343">
        <v>6</v>
      </c>
      <c r="G343" t="s">
        <v>163</v>
      </c>
      <c r="H343" t="s">
        <v>164</v>
      </c>
      <c r="I343" t="s">
        <v>102</v>
      </c>
    </row>
    <row r="344" spans="1:9" x14ac:dyDescent="0.25">
      <c r="A344">
        <v>343</v>
      </c>
      <c r="B344">
        <v>27</v>
      </c>
      <c r="C344" s="3">
        <v>45220</v>
      </c>
      <c r="D344" t="s">
        <v>13</v>
      </c>
      <c r="E344" t="s">
        <v>14</v>
      </c>
      <c r="F344">
        <v>6</v>
      </c>
      <c r="G344" t="s">
        <v>85</v>
      </c>
      <c r="H344" t="s">
        <v>86</v>
      </c>
      <c r="I344" t="s">
        <v>80</v>
      </c>
    </row>
    <row r="345" spans="1:9" x14ac:dyDescent="0.25">
      <c r="A345">
        <v>344</v>
      </c>
      <c r="B345">
        <v>27</v>
      </c>
      <c r="C345" s="3">
        <v>45220</v>
      </c>
      <c r="D345" t="s">
        <v>13</v>
      </c>
      <c r="E345" t="s">
        <v>14</v>
      </c>
      <c r="F345">
        <v>6</v>
      </c>
      <c r="G345" t="s">
        <v>87</v>
      </c>
      <c r="H345" t="s">
        <v>88</v>
      </c>
      <c r="I345" t="s">
        <v>80</v>
      </c>
    </row>
    <row r="346" spans="1:9" x14ac:dyDescent="0.25">
      <c r="A346">
        <v>345</v>
      </c>
      <c r="B346">
        <v>27</v>
      </c>
      <c r="C346" s="3">
        <v>45220</v>
      </c>
      <c r="D346" t="s">
        <v>13</v>
      </c>
      <c r="E346" t="s">
        <v>14</v>
      </c>
      <c r="F346">
        <v>6</v>
      </c>
      <c r="G346" t="s">
        <v>175</v>
      </c>
      <c r="H346" t="s">
        <v>176</v>
      </c>
      <c r="I346" t="s">
        <v>97</v>
      </c>
    </row>
    <row r="347" spans="1:9" x14ac:dyDescent="0.25">
      <c r="A347">
        <v>346</v>
      </c>
      <c r="B347">
        <v>27</v>
      </c>
      <c r="C347" s="3">
        <v>45220</v>
      </c>
      <c r="D347" t="s">
        <v>13</v>
      </c>
      <c r="E347" t="s">
        <v>14</v>
      </c>
      <c r="F347">
        <v>6</v>
      </c>
      <c r="G347" t="s">
        <v>167</v>
      </c>
      <c r="H347" t="s">
        <v>168</v>
      </c>
      <c r="I347" t="s">
        <v>122</v>
      </c>
    </row>
    <row r="348" spans="1:9" x14ac:dyDescent="0.25">
      <c r="A348">
        <v>347</v>
      </c>
      <c r="B348">
        <v>27</v>
      </c>
      <c r="C348" s="3">
        <v>45220</v>
      </c>
      <c r="D348" t="s">
        <v>13</v>
      </c>
      <c r="E348" t="s">
        <v>14</v>
      </c>
      <c r="F348">
        <v>6</v>
      </c>
      <c r="G348" t="s">
        <v>169</v>
      </c>
      <c r="H348" t="s">
        <v>170</v>
      </c>
      <c r="I348" t="s">
        <v>122</v>
      </c>
    </row>
    <row r="349" spans="1:9" x14ac:dyDescent="0.25">
      <c r="A349">
        <v>348</v>
      </c>
      <c r="B349">
        <v>27</v>
      </c>
      <c r="C349" s="3">
        <v>45220</v>
      </c>
      <c r="D349" t="s">
        <v>13</v>
      </c>
      <c r="E349" t="s">
        <v>14</v>
      </c>
      <c r="F349">
        <v>6</v>
      </c>
      <c r="G349" t="s">
        <v>141</v>
      </c>
      <c r="H349" t="s">
        <v>142</v>
      </c>
      <c r="I349" t="s">
        <v>122</v>
      </c>
    </row>
    <row r="350" spans="1:9" x14ac:dyDescent="0.25">
      <c r="A350">
        <v>349</v>
      </c>
      <c r="B350">
        <v>28</v>
      </c>
      <c r="C350" s="3">
        <v>45223</v>
      </c>
      <c r="D350" t="s">
        <v>11</v>
      </c>
      <c r="E350" t="s">
        <v>12</v>
      </c>
      <c r="F350">
        <v>4</v>
      </c>
      <c r="G350" t="s">
        <v>98</v>
      </c>
      <c r="H350" t="s">
        <v>99</v>
      </c>
      <c r="I350" t="s">
        <v>30</v>
      </c>
    </row>
    <row r="351" spans="1:9" x14ac:dyDescent="0.25">
      <c r="A351">
        <v>350</v>
      </c>
      <c r="B351">
        <v>28</v>
      </c>
      <c r="C351" s="3">
        <v>45223</v>
      </c>
      <c r="D351" t="s">
        <v>11</v>
      </c>
      <c r="E351" t="s">
        <v>12</v>
      </c>
      <c r="F351">
        <v>4</v>
      </c>
      <c r="G351" t="s">
        <v>66</v>
      </c>
      <c r="H351" t="s">
        <v>67</v>
      </c>
      <c r="I351" t="s">
        <v>30</v>
      </c>
    </row>
    <row r="352" spans="1:9" x14ac:dyDescent="0.25">
      <c r="A352">
        <v>351</v>
      </c>
      <c r="B352">
        <v>28</v>
      </c>
      <c r="C352" s="3">
        <v>45223</v>
      </c>
      <c r="D352" t="s">
        <v>11</v>
      </c>
      <c r="E352" t="s">
        <v>12</v>
      </c>
      <c r="F352">
        <v>4</v>
      </c>
      <c r="G352" t="s">
        <v>37</v>
      </c>
      <c r="H352" t="s">
        <v>38</v>
      </c>
      <c r="I352" t="s">
        <v>30</v>
      </c>
    </row>
    <row r="353" spans="1:9" x14ac:dyDescent="0.25">
      <c r="A353">
        <v>352</v>
      </c>
      <c r="B353">
        <v>28</v>
      </c>
      <c r="C353" s="3">
        <v>45223</v>
      </c>
      <c r="D353" t="s">
        <v>11</v>
      </c>
      <c r="E353" t="s">
        <v>12</v>
      </c>
      <c r="F353">
        <v>4</v>
      </c>
      <c r="G353" t="s">
        <v>123</v>
      </c>
      <c r="H353" t="s">
        <v>124</v>
      </c>
      <c r="I353" t="s">
        <v>102</v>
      </c>
    </row>
    <row r="354" spans="1:9" x14ac:dyDescent="0.25">
      <c r="A354">
        <v>353</v>
      </c>
      <c r="B354">
        <v>28</v>
      </c>
      <c r="C354" s="3">
        <v>45223</v>
      </c>
      <c r="D354" t="s">
        <v>11</v>
      </c>
      <c r="E354" t="s">
        <v>12</v>
      </c>
      <c r="F354">
        <v>4</v>
      </c>
      <c r="G354" t="s">
        <v>147</v>
      </c>
      <c r="H354" t="s">
        <v>148</v>
      </c>
      <c r="I354" t="s">
        <v>30</v>
      </c>
    </row>
    <row r="355" spans="1:9" x14ac:dyDescent="0.25">
      <c r="A355">
        <v>354</v>
      </c>
      <c r="B355">
        <v>28</v>
      </c>
      <c r="C355" s="3">
        <v>45223</v>
      </c>
      <c r="D355" t="s">
        <v>11</v>
      </c>
      <c r="E355" t="s">
        <v>12</v>
      </c>
      <c r="F355">
        <v>4</v>
      </c>
      <c r="G355" t="s">
        <v>44</v>
      </c>
      <c r="H355" t="s">
        <v>45</v>
      </c>
      <c r="I355" t="s">
        <v>33</v>
      </c>
    </row>
    <row r="356" spans="1:9" x14ac:dyDescent="0.25">
      <c r="A356">
        <v>355</v>
      </c>
      <c r="B356">
        <v>28</v>
      </c>
      <c r="C356" s="3">
        <v>45223</v>
      </c>
      <c r="D356" t="s">
        <v>11</v>
      </c>
      <c r="E356" t="s">
        <v>12</v>
      </c>
      <c r="F356">
        <v>4</v>
      </c>
      <c r="G356" t="s">
        <v>149</v>
      </c>
      <c r="H356" t="s">
        <v>150</v>
      </c>
      <c r="I356" t="s">
        <v>33</v>
      </c>
    </row>
    <row r="357" spans="1:9" x14ac:dyDescent="0.25">
      <c r="A357">
        <v>356</v>
      </c>
      <c r="B357">
        <v>28</v>
      </c>
      <c r="C357" s="3">
        <v>45223</v>
      </c>
      <c r="D357" t="s">
        <v>11</v>
      </c>
      <c r="E357" t="s">
        <v>12</v>
      </c>
      <c r="F357">
        <v>4</v>
      </c>
      <c r="G357" t="s">
        <v>72</v>
      </c>
      <c r="H357" t="s">
        <v>73</v>
      </c>
      <c r="I357" t="s">
        <v>43</v>
      </c>
    </row>
    <row r="358" spans="1:9" x14ac:dyDescent="0.25">
      <c r="A358">
        <v>357</v>
      </c>
      <c r="B358">
        <v>28</v>
      </c>
      <c r="C358" s="3">
        <v>45223</v>
      </c>
      <c r="D358" t="s">
        <v>11</v>
      </c>
      <c r="E358" t="s">
        <v>12</v>
      </c>
      <c r="F358">
        <v>4</v>
      </c>
      <c r="G358" t="s">
        <v>165</v>
      </c>
      <c r="H358" t="s">
        <v>166</v>
      </c>
      <c r="I358" t="s">
        <v>43</v>
      </c>
    </row>
    <row r="359" spans="1:9" x14ac:dyDescent="0.25">
      <c r="A359">
        <v>358</v>
      </c>
      <c r="B359">
        <v>28</v>
      </c>
      <c r="C359" s="3">
        <v>45223</v>
      </c>
      <c r="D359" t="s">
        <v>11</v>
      </c>
      <c r="E359" t="s">
        <v>12</v>
      </c>
      <c r="F359">
        <v>4</v>
      </c>
      <c r="G359" t="s">
        <v>205</v>
      </c>
      <c r="H359" t="s">
        <v>206</v>
      </c>
      <c r="I359" t="s">
        <v>122</v>
      </c>
    </row>
    <row r="360" spans="1:9" x14ac:dyDescent="0.25">
      <c r="A360">
        <v>359</v>
      </c>
      <c r="B360">
        <v>28</v>
      </c>
      <c r="C360" s="3">
        <v>45223</v>
      </c>
      <c r="D360" t="s">
        <v>11</v>
      </c>
      <c r="E360" t="s">
        <v>12</v>
      </c>
      <c r="F360">
        <v>4</v>
      </c>
      <c r="G360" t="s">
        <v>209</v>
      </c>
      <c r="H360" t="s">
        <v>210</v>
      </c>
      <c r="I360" t="s">
        <v>33</v>
      </c>
    </row>
    <row r="361" spans="1:9" x14ac:dyDescent="0.25">
      <c r="A361">
        <v>360</v>
      </c>
      <c r="B361">
        <v>28</v>
      </c>
      <c r="C361" s="3">
        <v>45223</v>
      </c>
      <c r="D361" t="s">
        <v>11</v>
      </c>
      <c r="E361" t="s">
        <v>12</v>
      </c>
      <c r="F361">
        <v>4</v>
      </c>
      <c r="G361" t="s">
        <v>115</v>
      </c>
      <c r="H361" t="s">
        <v>116</v>
      </c>
      <c r="I361" t="s">
        <v>36</v>
      </c>
    </row>
    <row r="362" spans="1:9" x14ac:dyDescent="0.25">
      <c r="A362">
        <v>361</v>
      </c>
      <c r="B362">
        <v>28</v>
      </c>
      <c r="C362" s="3">
        <v>45223</v>
      </c>
      <c r="D362" t="s">
        <v>11</v>
      </c>
      <c r="E362" t="s">
        <v>12</v>
      </c>
      <c r="F362">
        <v>4</v>
      </c>
      <c r="G362" t="s">
        <v>201</v>
      </c>
      <c r="H362" t="s">
        <v>202</v>
      </c>
      <c r="I362" t="s">
        <v>36</v>
      </c>
    </row>
    <row r="363" spans="1:9" x14ac:dyDescent="0.25">
      <c r="A363">
        <v>362</v>
      </c>
      <c r="B363">
        <v>29</v>
      </c>
      <c r="C363" s="3">
        <v>45237</v>
      </c>
      <c r="D363" t="s">
        <v>15</v>
      </c>
      <c r="E363" t="s">
        <v>16</v>
      </c>
      <c r="F363">
        <v>6</v>
      </c>
      <c r="G363" t="s">
        <v>211</v>
      </c>
      <c r="H363" t="s">
        <v>212</v>
      </c>
      <c r="I363" t="s">
        <v>30</v>
      </c>
    </row>
    <row r="364" spans="1:9" x14ac:dyDescent="0.25">
      <c r="A364">
        <v>363</v>
      </c>
      <c r="B364">
        <v>29</v>
      </c>
      <c r="C364" s="3">
        <v>45237</v>
      </c>
      <c r="D364" t="s">
        <v>15</v>
      </c>
      <c r="E364" t="s">
        <v>16</v>
      </c>
      <c r="F364">
        <v>6</v>
      </c>
      <c r="G364" t="s">
        <v>64</v>
      </c>
      <c r="H364" t="s">
        <v>65</v>
      </c>
      <c r="I364" t="s">
        <v>30</v>
      </c>
    </row>
    <row r="365" spans="1:9" x14ac:dyDescent="0.25">
      <c r="A365">
        <v>364</v>
      </c>
      <c r="B365">
        <v>29</v>
      </c>
      <c r="C365" s="3">
        <v>45237</v>
      </c>
      <c r="D365" t="s">
        <v>15</v>
      </c>
      <c r="E365" t="s">
        <v>16</v>
      </c>
      <c r="F365">
        <v>6</v>
      </c>
      <c r="G365" t="s">
        <v>187</v>
      </c>
      <c r="H365" t="s">
        <v>188</v>
      </c>
      <c r="I365" t="s">
        <v>30</v>
      </c>
    </row>
    <row r="366" spans="1:9" x14ac:dyDescent="0.25">
      <c r="A366">
        <v>365</v>
      </c>
      <c r="B366">
        <v>29</v>
      </c>
      <c r="C366" s="3">
        <v>45237</v>
      </c>
      <c r="D366" t="s">
        <v>15</v>
      </c>
      <c r="E366" t="s">
        <v>16</v>
      </c>
      <c r="F366">
        <v>6</v>
      </c>
      <c r="G366" t="s">
        <v>223</v>
      </c>
      <c r="H366" t="s">
        <v>224</v>
      </c>
      <c r="I366" t="s">
        <v>30</v>
      </c>
    </row>
    <row r="367" spans="1:9" x14ac:dyDescent="0.25">
      <c r="A367">
        <v>366</v>
      </c>
      <c r="B367">
        <v>29</v>
      </c>
      <c r="C367" s="3">
        <v>45237</v>
      </c>
      <c r="D367" t="s">
        <v>15</v>
      </c>
      <c r="E367" t="s">
        <v>16</v>
      </c>
      <c r="F367">
        <v>6</v>
      </c>
      <c r="G367" t="s">
        <v>37</v>
      </c>
      <c r="H367" t="s">
        <v>38</v>
      </c>
      <c r="I367" t="s">
        <v>30</v>
      </c>
    </row>
    <row r="368" spans="1:9" x14ac:dyDescent="0.25">
      <c r="A368">
        <v>367</v>
      </c>
      <c r="B368">
        <v>29</v>
      </c>
      <c r="C368" s="3">
        <v>45237</v>
      </c>
      <c r="D368" t="s">
        <v>15</v>
      </c>
      <c r="E368" t="s">
        <v>16</v>
      </c>
      <c r="F368">
        <v>6</v>
      </c>
      <c r="G368" t="s">
        <v>215</v>
      </c>
      <c r="H368" t="s">
        <v>216</v>
      </c>
      <c r="I368" t="s">
        <v>30</v>
      </c>
    </row>
    <row r="369" spans="1:9" x14ac:dyDescent="0.25">
      <c r="A369">
        <v>368</v>
      </c>
      <c r="B369">
        <v>29</v>
      </c>
      <c r="C369" s="3">
        <v>45237</v>
      </c>
      <c r="D369" t="s">
        <v>15</v>
      </c>
      <c r="E369" t="s">
        <v>16</v>
      </c>
      <c r="F369">
        <v>6</v>
      </c>
      <c r="G369" t="s">
        <v>147</v>
      </c>
      <c r="H369" t="s">
        <v>148</v>
      </c>
      <c r="I369" t="s">
        <v>30</v>
      </c>
    </row>
    <row r="370" spans="1:9" x14ac:dyDescent="0.25">
      <c r="A370">
        <v>369</v>
      </c>
      <c r="B370">
        <v>29</v>
      </c>
      <c r="C370" s="3">
        <v>45237</v>
      </c>
      <c r="D370" t="s">
        <v>15</v>
      </c>
      <c r="E370" t="s">
        <v>16</v>
      </c>
      <c r="F370">
        <v>6</v>
      </c>
      <c r="G370" t="s">
        <v>221</v>
      </c>
      <c r="H370" t="s">
        <v>222</v>
      </c>
      <c r="I370" t="s">
        <v>30</v>
      </c>
    </row>
    <row r="371" spans="1:9" x14ac:dyDescent="0.25">
      <c r="A371">
        <v>370</v>
      </c>
      <c r="B371">
        <v>29</v>
      </c>
      <c r="C371" s="3">
        <v>45237</v>
      </c>
      <c r="D371" t="s">
        <v>15</v>
      </c>
      <c r="E371" t="s">
        <v>16</v>
      </c>
      <c r="F371">
        <v>6</v>
      </c>
      <c r="G371" t="s">
        <v>60</v>
      </c>
      <c r="H371" t="s">
        <v>61</v>
      </c>
      <c r="I371" t="s">
        <v>43</v>
      </c>
    </row>
    <row r="372" spans="1:9" x14ac:dyDescent="0.25">
      <c r="A372">
        <v>371</v>
      </c>
      <c r="B372">
        <v>29</v>
      </c>
      <c r="C372" s="3">
        <v>45237</v>
      </c>
      <c r="D372" t="s">
        <v>15</v>
      </c>
      <c r="E372" t="s">
        <v>16</v>
      </c>
      <c r="F372">
        <v>6</v>
      </c>
      <c r="G372" t="s">
        <v>193</v>
      </c>
      <c r="H372" t="s">
        <v>194</v>
      </c>
      <c r="I372" t="s">
        <v>36</v>
      </c>
    </row>
    <row r="373" spans="1:9" x14ac:dyDescent="0.25">
      <c r="A373">
        <v>372</v>
      </c>
      <c r="B373">
        <v>29</v>
      </c>
      <c r="C373" s="3">
        <v>45237</v>
      </c>
      <c r="D373" t="s">
        <v>15</v>
      </c>
      <c r="E373" t="s">
        <v>16</v>
      </c>
      <c r="F373">
        <v>6</v>
      </c>
      <c r="G373" t="s">
        <v>209</v>
      </c>
      <c r="H373" t="s">
        <v>210</v>
      </c>
      <c r="I373" t="s">
        <v>33</v>
      </c>
    </row>
    <row r="374" spans="1:9" x14ac:dyDescent="0.25">
      <c r="A374">
        <v>373</v>
      </c>
      <c r="B374">
        <v>30</v>
      </c>
      <c r="C374" s="3">
        <v>45253</v>
      </c>
      <c r="D374" t="s">
        <v>20</v>
      </c>
      <c r="E374" t="s">
        <v>21</v>
      </c>
      <c r="F374">
        <v>4</v>
      </c>
      <c r="G374" t="s">
        <v>143</v>
      </c>
      <c r="H374" t="s">
        <v>144</v>
      </c>
      <c r="I374" t="s">
        <v>30</v>
      </c>
    </row>
    <row r="375" spans="1:9" x14ac:dyDescent="0.25">
      <c r="A375">
        <v>374</v>
      </c>
      <c r="B375">
        <v>30</v>
      </c>
      <c r="C375" s="3">
        <v>45253</v>
      </c>
      <c r="D375" t="s">
        <v>20</v>
      </c>
      <c r="E375" t="s">
        <v>21</v>
      </c>
      <c r="F375">
        <v>4</v>
      </c>
      <c r="G375" t="s">
        <v>161</v>
      </c>
      <c r="H375" t="s">
        <v>162</v>
      </c>
      <c r="I375" t="s">
        <v>30</v>
      </c>
    </row>
    <row r="376" spans="1:9" x14ac:dyDescent="0.25">
      <c r="A376">
        <v>375</v>
      </c>
      <c r="B376">
        <v>30</v>
      </c>
      <c r="C376" s="3">
        <v>45253</v>
      </c>
      <c r="D376" t="s">
        <v>20</v>
      </c>
      <c r="E376" t="s">
        <v>21</v>
      </c>
      <c r="F376">
        <v>4</v>
      </c>
      <c r="G376" t="s">
        <v>145</v>
      </c>
      <c r="H376" t="s">
        <v>146</v>
      </c>
      <c r="I376" t="s">
        <v>30</v>
      </c>
    </row>
    <row r="377" spans="1:9" x14ac:dyDescent="0.25">
      <c r="A377">
        <v>376</v>
      </c>
      <c r="B377">
        <v>30</v>
      </c>
      <c r="C377" s="3">
        <v>45253</v>
      </c>
      <c r="D377" t="s">
        <v>20</v>
      </c>
      <c r="E377" t="s">
        <v>21</v>
      </c>
      <c r="F377">
        <v>4</v>
      </c>
      <c r="G377" t="s">
        <v>107</v>
      </c>
      <c r="H377" t="s">
        <v>108</v>
      </c>
      <c r="I377" t="s">
        <v>30</v>
      </c>
    </row>
    <row r="378" spans="1:9" x14ac:dyDescent="0.25">
      <c r="A378">
        <v>377</v>
      </c>
      <c r="B378">
        <v>30</v>
      </c>
      <c r="C378" s="3">
        <v>45253</v>
      </c>
      <c r="D378" t="s">
        <v>20</v>
      </c>
      <c r="E378" t="s">
        <v>21</v>
      </c>
      <c r="F378">
        <v>4</v>
      </c>
      <c r="G378" t="s">
        <v>87</v>
      </c>
      <c r="H378" t="s">
        <v>88</v>
      </c>
      <c r="I378" t="s">
        <v>80</v>
      </c>
    </row>
    <row r="379" spans="1:9" x14ac:dyDescent="0.25">
      <c r="A379">
        <v>378</v>
      </c>
      <c r="B379">
        <v>30</v>
      </c>
      <c r="C379" s="3">
        <v>45253</v>
      </c>
      <c r="D379" t="s">
        <v>20</v>
      </c>
      <c r="E379" t="s">
        <v>21</v>
      </c>
      <c r="F379">
        <v>4</v>
      </c>
      <c r="G379" t="s">
        <v>175</v>
      </c>
      <c r="H379" t="s">
        <v>176</v>
      </c>
      <c r="I379" t="s">
        <v>97</v>
      </c>
    </row>
    <row r="380" spans="1:9" x14ac:dyDescent="0.25">
      <c r="A380">
        <v>379</v>
      </c>
      <c r="B380">
        <v>30</v>
      </c>
      <c r="C380" s="3">
        <v>45253</v>
      </c>
      <c r="D380" t="s">
        <v>20</v>
      </c>
      <c r="E380" t="s">
        <v>21</v>
      </c>
      <c r="F380">
        <v>4</v>
      </c>
      <c r="G380" t="s">
        <v>195</v>
      </c>
      <c r="H380" t="s">
        <v>196</v>
      </c>
      <c r="I380" t="s">
        <v>80</v>
      </c>
    </row>
    <row r="381" spans="1:9" x14ac:dyDescent="0.25">
      <c r="A381">
        <v>380</v>
      </c>
      <c r="B381">
        <v>30</v>
      </c>
      <c r="C381" s="3">
        <v>45253</v>
      </c>
      <c r="D381" t="s">
        <v>20</v>
      </c>
      <c r="E381" t="s">
        <v>21</v>
      </c>
      <c r="F381">
        <v>4</v>
      </c>
      <c r="G381" t="s">
        <v>137</v>
      </c>
      <c r="H381" t="s">
        <v>138</v>
      </c>
      <c r="I381" t="s">
        <v>43</v>
      </c>
    </row>
    <row r="382" spans="1:9" x14ac:dyDescent="0.25">
      <c r="A382">
        <v>381</v>
      </c>
      <c r="B382">
        <v>30</v>
      </c>
      <c r="C382" s="3">
        <v>45253</v>
      </c>
      <c r="D382" t="s">
        <v>20</v>
      </c>
      <c r="E382" t="s">
        <v>21</v>
      </c>
      <c r="F382">
        <v>4</v>
      </c>
      <c r="G382" t="s">
        <v>155</v>
      </c>
      <c r="H382" t="s">
        <v>156</v>
      </c>
      <c r="I382" t="s">
        <v>80</v>
      </c>
    </row>
    <row r="383" spans="1:9" x14ac:dyDescent="0.25">
      <c r="A383">
        <v>382</v>
      </c>
      <c r="B383">
        <v>30</v>
      </c>
      <c r="C383" s="3">
        <v>45253</v>
      </c>
      <c r="D383" t="s">
        <v>20</v>
      </c>
      <c r="E383" t="s">
        <v>21</v>
      </c>
      <c r="F383">
        <v>4</v>
      </c>
      <c r="G383" t="s">
        <v>197</v>
      </c>
      <c r="H383" t="s">
        <v>198</v>
      </c>
      <c r="I383" t="s">
        <v>80</v>
      </c>
    </row>
    <row r="384" spans="1:9" x14ac:dyDescent="0.25">
      <c r="A384">
        <v>383</v>
      </c>
      <c r="B384">
        <v>30</v>
      </c>
      <c r="C384" s="3">
        <v>45253</v>
      </c>
      <c r="D384" t="s">
        <v>20</v>
      </c>
      <c r="E384" t="s">
        <v>21</v>
      </c>
      <c r="F384">
        <v>4</v>
      </c>
      <c r="G384" t="s">
        <v>169</v>
      </c>
      <c r="H384" t="s">
        <v>170</v>
      </c>
      <c r="I384" t="s">
        <v>122</v>
      </c>
    </row>
    <row r="385" spans="1:9" x14ac:dyDescent="0.25">
      <c r="A385">
        <v>384</v>
      </c>
      <c r="B385">
        <v>31</v>
      </c>
      <c r="C385" s="3">
        <v>45263</v>
      </c>
      <c r="D385" t="s">
        <v>17</v>
      </c>
      <c r="E385" t="s">
        <v>18</v>
      </c>
      <c r="F385">
        <v>6</v>
      </c>
      <c r="G385" t="s">
        <v>120</v>
      </c>
      <c r="H385" t="s">
        <v>121</v>
      </c>
      <c r="I385" t="s">
        <v>122</v>
      </c>
    </row>
    <row r="386" spans="1:9" x14ac:dyDescent="0.25">
      <c r="A386">
        <v>385</v>
      </c>
      <c r="B386">
        <v>31</v>
      </c>
      <c r="C386" s="3">
        <v>45263</v>
      </c>
      <c r="D386" t="s">
        <v>17</v>
      </c>
      <c r="E386" t="s">
        <v>18</v>
      </c>
      <c r="F386">
        <v>6</v>
      </c>
      <c r="G386" t="s">
        <v>100</v>
      </c>
      <c r="H386" t="s">
        <v>101</v>
      </c>
      <c r="I386" t="s">
        <v>102</v>
      </c>
    </row>
    <row r="387" spans="1:9" x14ac:dyDescent="0.25">
      <c r="A387">
        <v>386</v>
      </c>
      <c r="B387">
        <v>31</v>
      </c>
      <c r="C387" s="3">
        <v>45263</v>
      </c>
      <c r="D387" t="s">
        <v>17</v>
      </c>
      <c r="E387" t="s">
        <v>18</v>
      </c>
      <c r="F387">
        <v>6</v>
      </c>
      <c r="G387" t="s">
        <v>157</v>
      </c>
      <c r="H387" t="s">
        <v>158</v>
      </c>
      <c r="I387" t="s">
        <v>102</v>
      </c>
    </row>
    <row r="388" spans="1:9" x14ac:dyDescent="0.25">
      <c r="A388">
        <v>387</v>
      </c>
      <c r="B388">
        <v>31</v>
      </c>
      <c r="C388" s="3">
        <v>45263</v>
      </c>
      <c r="D388" t="s">
        <v>17</v>
      </c>
      <c r="E388" t="s">
        <v>18</v>
      </c>
      <c r="F388">
        <v>6</v>
      </c>
      <c r="G388" t="s">
        <v>123</v>
      </c>
      <c r="H388" t="s">
        <v>124</v>
      </c>
      <c r="I388" t="s">
        <v>102</v>
      </c>
    </row>
    <row r="389" spans="1:9" x14ac:dyDescent="0.25">
      <c r="A389">
        <v>388</v>
      </c>
      <c r="B389">
        <v>31</v>
      </c>
      <c r="C389" s="3">
        <v>45263</v>
      </c>
      <c r="D389" t="s">
        <v>17</v>
      </c>
      <c r="E389" t="s">
        <v>18</v>
      </c>
      <c r="F389">
        <v>6</v>
      </c>
      <c r="G389" t="s">
        <v>41</v>
      </c>
      <c r="H389" t="s">
        <v>42</v>
      </c>
      <c r="I389" t="s">
        <v>43</v>
      </c>
    </row>
    <row r="390" spans="1:9" x14ac:dyDescent="0.25">
      <c r="A390">
        <v>389</v>
      </c>
      <c r="B390">
        <v>31</v>
      </c>
      <c r="C390" s="3">
        <v>45263</v>
      </c>
      <c r="D390" t="s">
        <v>17</v>
      </c>
      <c r="E390" t="s">
        <v>18</v>
      </c>
      <c r="F390">
        <v>6</v>
      </c>
      <c r="G390" t="s">
        <v>70</v>
      </c>
      <c r="H390" t="s">
        <v>71</v>
      </c>
      <c r="I390" t="s">
        <v>36</v>
      </c>
    </row>
    <row r="391" spans="1:9" x14ac:dyDescent="0.25">
      <c r="A391">
        <v>390</v>
      </c>
      <c r="B391">
        <v>31</v>
      </c>
      <c r="C391" s="3">
        <v>45263</v>
      </c>
      <c r="D391" t="s">
        <v>17</v>
      </c>
      <c r="E391" t="s">
        <v>18</v>
      </c>
      <c r="F391">
        <v>6</v>
      </c>
      <c r="G391" t="s">
        <v>129</v>
      </c>
      <c r="H391" t="s">
        <v>130</v>
      </c>
      <c r="I391" t="s">
        <v>102</v>
      </c>
    </row>
    <row r="392" spans="1:9" x14ac:dyDescent="0.25">
      <c r="A392">
        <v>391</v>
      </c>
      <c r="B392">
        <v>31</v>
      </c>
      <c r="C392" s="3">
        <v>45263</v>
      </c>
      <c r="D392" t="s">
        <v>17</v>
      </c>
      <c r="E392" t="s">
        <v>18</v>
      </c>
      <c r="F392">
        <v>6</v>
      </c>
      <c r="G392" t="s">
        <v>163</v>
      </c>
      <c r="H392" t="s">
        <v>164</v>
      </c>
      <c r="I392" t="s">
        <v>102</v>
      </c>
    </row>
    <row r="393" spans="1:9" x14ac:dyDescent="0.25">
      <c r="A393">
        <v>392</v>
      </c>
      <c r="B393">
        <v>31</v>
      </c>
      <c r="C393" s="3">
        <v>45263</v>
      </c>
      <c r="D393" t="s">
        <v>17</v>
      </c>
      <c r="E393" t="s">
        <v>18</v>
      </c>
      <c r="F393">
        <v>6</v>
      </c>
      <c r="G393" t="s">
        <v>60</v>
      </c>
      <c r="H393" t="s">
        <v>61</v>
      </c>
      <c r="I393" t="s">
        <v>43</v>
      </c>
    </row>
    <row r="394" spans="1:9" x14ac:dyDescent="0.25">
      <c r="A394">
        <v>393</v>
      </c>
      <c r="B394">
        <v>31</v>
      </c>
      <c r="C394" s="3">
        <v>45263</v>
      </c>
      <c r="D394" t="s">
        <v>17</v>
      </c>
      <c r="E394" t="s">
        <v>18</v>
      </c>
      <c r="F394">
        <v>6</v>
      </c>
      <c r="G394" t="s">
        <v>91</v>
      </c>
      <c r="H394" t="s">
        <v>92</v>
      </c>
      <c r="I394" t="s">
        <v>80</v>
      </c>
    </row>
    <row r="395" spans="1:9" x14ac:dyDescent="0.25">
      <c r="A395">
        <v>394</v>
      </c>
      <c r="B395">
        <v>31</v>
      </c>
      <c r="C395" s="3">
        <v>45263</v>
      </c>
      <c r="D395" t="s">
        <v>17</v>
      </c>
      <c r="E395" t="s">
        <v>18</v>
      </c>
      <c r="F395">
        <v>6</v>
      </c>
      <c r="G395" t="s">
        <v>195</v>
      </c>
      <c r="H395" t="s">
        <v>196</v>
      </c>
      <c r="I395" t="s">
        <v>80</v>
      </c>
    </row>
    <row r="396" spans="1:9" x14ac:dyDescent="0.25">
      <c r="A396">
        <v>395</v>
      </c>
      <c r="B396">
        <v>32</v>
      </c>
      <c r="C396" s="3">
        <v>45265</v>
      </c>
      <c r="D396" t="s">
        <v>13</v>
      </c>
      <c r="E396" t="s">
        <v>14</v>
      </c>
      <c r="F396">
        <v>4</v>
      </c>
      <c r="G396" t="s">
        <v>117</v>
      </c>
      <c r="H396" t="s">
        <v>118</v>
      </c>
      <c r="I396" t="s">
        <v>119</v>
      </c>
    </row>
    <row r="397" spans="1:9" x14ac:dyDescent="0.25">
      <c r="A397">
        <v>396</v>
      </c>
      <c r="B397">
        <v>32</v>
      </c>
      <c r="C397" s="3">
        <v>45265</v>
      </c>
      <c r="D397" t="s">
        <v>13</v>
      </c>
      <c r="E397" t="s">
        <v>14</v>
      </c>
      <c r="F397">
        <v>4</v>
      </c>
      <c r="G397" t="s">
        <v>213</v>
      </c>
      <c r="H397" t="s">
        <v>214</v>
      </c>
      <c r="I397" t="s">
        <v>30</v>
      </c>
    </row>
    <row r="398" spans="1:9" x14ac:dyDescent="0.25">
      <c r="A398">
        <v>397</v>
      </c>
      <c r="B398">
        <v>32</v>
      </c>
      <c r="C398" s="3">
        <v>45265</v>
      </c>
      <c r="D398" t="s">
        <v>13</v>
      </c>
      <c r="E398" t="s">
        <v>14</v>
      </c>
      <c r="F398">
        <v>4</v>
      </c>
      <c r="G398" t="s">
        <v>225</v>
      </c>
      <c r="H398" t="s">
        <v>226</v>
      </c>
      <c r="I398" t="s">
        <v>30</v>
      </c>
    </row>
    <row r="399" spans="1:9" x14ac:dyDescent="0.25">
      <c r="A399">
        <v>398</v>
      </c>
      <c r="B399">
        <v>32</v>
      </c>
      <c r="C399" s="3">
        <v>45265</v>
      </c>
      <c r="D399" t="s">
        <v>13</v>
      </c>
      <c r="E399" t="s">
        <v>14</v>
      </c>
      <c r="F399">
        <v>4</v>
      </c>
      <c r="G399" t="s">
        <v>157</v>
      </c>
      <c r="H399" t="s">
        <v>158</v>
      </c>
      <c r="I399" t="s">
        <v>102</v>
      </c>
    </row>
    <row r="400" spans="1:9" x14ac:dyDescent="0.25">
      <c r="A400">
        <v>399</v>
      </c>
      <c r="B400">
        <v>32</v>
      </c>
      <c r="C400" s="3">
        <v>45265</v>
      </c>
      <c r="D400" t="s">
        <v>13</v>
      </c>
      <c r="E400" t="s">
        <v>14</v>
      </c>
      <c r="F400">
        <v>4</v>
      </c>
      <c r="G400" t="s">
        <v>125</v>
      </c>
      <c r="H400" t="s">
        <v>126</v>
      </c>
      <c r="I400" t="s">
        <v>97</v>
      </c>
    </row>
    <row r="401" spans="1:9" x14ac:dyDescent="0.25">
      <c r="A401">
        <v>400</v>
      </c>
      <c r="B401">
        <v>32</v>
      </c>
      <c r="C401" s="3">
        <v>45265</v>
      </c>
      <c r="D401" t="s">
        <v>13</v>
      </c>
      <c r="E401" t="s">
        <v>14</v>
      </c>
      <c r="F401">
        <v>4</v>
      </c>
      <c r="G401" t="s">
        <v>41</v>
      </c>
      <c r="H401" t="s">
        <v>42</v>
      </c>
      <c r="I401" t="s">
        <v>43</v>
      </c>
    </row>
    <row r="402" spans="1:9" x14ac:dyDescent="0.25">
      <c r="A402">
        <v>401</v>
      </c>
      <c r="B402">
        <v>32</v>
      </c>
      <c r="C402" s="3">
        <v>45265</v>
      </c>
      <c r="D402" t="s">
        <v>13</v>
      </c>
      <c r="E402" t="s">
        <v>14</v>
      </c>
      <c r="F402">
        <v>4</v>
      </c>
      <c r="G402" t="s">
        <v>207</v>
      </c>
      <c r="H402" t="s">
        <v>208</v>
      </c>
      <c r="I402" t="s">
        <v>30</v>
      </c>
    </row>
    <row r="403" spans="1:9" x14ac:dyDescent="0.25">
      <c r="A403">
        <v>402</v>
      </c>
      <c r="B403">
        <v>32</v>
      </c>
      <c r="C403" s="3">
        <v>45265</v>
      </c>
      <c r="D403" t="s">
        <v>13</v>
      </c>
      <c r="E403" t="s">
        <v>14</v>
      </c>
      <c r="F403">
        <v>4</v>
      </c>
      <c r="G403" t="s">
        <v>70</v>
      </c>
      <c r="H403" t="s">
        <v>71</v>
      </c>
      <c r="I403" t="s">
        <v>36</v>
      </c>
    </row>
    <row r="404" spans="1:9" x14ac:dyDescent="0.25">
      <c r="A404">
        <v>403</v>
      </c>
      <c r="B404">
        <v>32</v>
      </c>
      <c r="C404" s="3">
        <v>45265</v>
      </c>
      <c r="D404" t="s">
        <v>13</v>
      </c>
      <c r="E404" t="s">
        <v>14</v>
      </c>
      <c r="F404">
        <v>4</v>
      </c>
      <c r="G404" t="s">
        <v>129</v>
      </c>
      <c r="H404" t="s">
        <v>130</v>
      </c>
      <c r="I404" t="s">
        <v>102</v>
      </c>
    </row>
    <row r="405" spans="1:9" x14ac:dyDescent="0.25">
      <c r="A405">
        <v>404</v>
      </c>
      <c r="B405">
        <v>32</v>
      </c>
      <c r="C405" s="3">
        <v>45265</v>
      </c>
      <c r="D405" t="s">
        <v>13</v>
      </c>
      <c r="E405" t="s">
        <v>14</v>
      </c>
      <c r="F405">
        <v>4</v>
      </c>
      <c r="G405" t="s">
        <v>153</v>
      </c>
      <c r="H405" t="s">
        <v>154</v>
      </c>
      <c r="I405" t="s">
        <v>36</v>
      </c>
    </row>
    <row r="406" spans="1:9" x14ac:dyDescent="0.25">
      <c r="A406">
        <v>405</v>
      </c>
      <c r="B406">
        <v>32</v>
      </c>
      <c r="C406" s="3">
        <v>45265</v>
      </c>
      <c r="D406" t="s">
        <v>13</v>
      </c>
      <c r="E406" t="s">
        <v>14</v>
      </c>
      <c r="F406">
        <v>4</v>
      </c>
      <c r="G406" t="s">
        <v>227</v>
      </c>
      <c r="H406" t="s">
        <v>228</v>
      </c>
      <c r="I406" t="s">
        <v>80</v>
      </c>
    </row>
    <row r="407" spans="1:9" x14ac:dyDescent="0.25">
      <c r="A407">
        <v>406</v>
      </c>
      <c r="B407">
        <v>32</v>
      </c>
      <c r="C407" s="3">
        <v>45265</v>
      </c>
      <c r="D407" t="s">
        <v>13</v>
      </c>
      <c r="E407" t="s">
        <v>14</v>
      </c>
      <c r="F407">
        <v>4</v>
      </c>
      <c r="G407" t="s">
        <v>115</v>
      </c>
      <c r="H407" t="s">
        <v>116</v>
      </c>
      <c r="I407" t="s">
        <v>36</v>
      </c>
    </row>
    <row r="408" spans="1:9" x14ac:dyDescent="0.25">
      <c r="A408">
        <v>407</v>
      </c>
      <c r="B408">
        <v>32</v>
      </c>
      <c r="C408" s="3">
        <v>45265</v>
      </c>
      <c r="D408" t="s">
        <v>13</v>
      </c>
      <c r="E408" t="s">
        <v>14</v>
      </c>
      <c r="F408">
        <v>4</v>
      </c>
      <c r="G408" t="s">
        <v>141</v>
      </c>
      <c r="H408" t="s">
        <v>142</v>
      </c>
      <c r="I408" t="s">
        <v>122</v>
      </c>
    </row>
    <row r="409" spans="1:9" x14ac:dyDescent="0.25">
      <c r="A409">
        <v>408</v>
      </c>
      <c r="B409">
        <v>33</v>
      </c>
      <c r="C409" s="3">
        <v>45270</v>
      </c>
      <c r="D409" t="s">
        <v>7</v>
      </c>
      <c r="E409" t="s">
        <v>8</v>
      </c>
      <c r="F409">
        <v>2</v>
      </c>
      <c r="G409" t="s">
        <v>34</v>
      </c>
      <c r="H409" t="s">
        <v>35</v>
      </c>
      <c r="I409" t="s">
        <v>36</v>
      </c>
    </row>
    <row r="410" spans="1:9" x14ac:dyDescent="0.25">
      <c r="A410">
        <v>409</v>
      </c>
      <c r="B410">
        <v>33</v>
      </c>
      <c r="C410" s="3">
        <v>45270</v>
      </c>
      <c r="D410" t="s">
        <v>7</v>
      </c>
      <c r="E410" t="s">
        <v>8</v>
      </c>
      <c r="F410">
        <v>2</v>
      </c>
      <c r="G410" t="s">
        <v>68</v>
      </c>
      <c r="H410" t="s">
        <v>69</v>
      </c>
      <c r="I410" t="s">
        <v>36</v>
      </c>
    </row>
    <row r="411" spans="1:9" x14ac:dyDescent="0.25">
      <c r="A411">
        <v>410</v>
      </c>
      <c r="B411">
        <v>33</v>
      </c>
      <c r="C411" s="3">
        <v>45270</v>
      </c>
      <c r="D411" t="s">
        <v>7</v>
      </c>
      <c r="E411" t="s">
        <v>8</v>
      </c>
      <c r="F411">
        <v>2</v>
      </c>
      <c r="G411" t="s">
        <v>103</v>
      </c>
      <c r="H411" t="s">
        <v>104</v>
      </c>
      <c r="I411" t="s">
        <v>36</v>
      </c>
    </row>
    <row r="412" spans="1:9" x14ac:dyDescent="0.25">
      <c r="A412">
        <v>411</v>
      </c>
      <c r="B412">
        <v>33</v>
      </c>
      <c r="C412" s="3">
        <v>45270</v>
      </c>
      <c r="D412" t="s">
        <v>7</v>
      </c>
      <c r="E412" t="s">
        <v>8</v>
      </c>
      <c r="F412">
        <v>2</v>
      </c>
      <c r="G412" t="s">
        <v>70</v>
      </c>
      <c r="H412" t="s">
        <v>71</v>
      </c>
      <c r="I412" t="s">
        <v>36</v>
      </c>
    </row>
    <row r="413" spans="1:9" x14ac:dyDescent="0.25">
      <c r="A413">
        <v>412</v>
      </c>
      <c r="B413">
        <v>33</v>
      </c>
      <c r="C413" s="3">
        <v>45270</v>
      </c>
      <c r="D413" t="s">
        <v>7</v>
      </c>
      <c r="E413" t="s">
        <v>8</v>
      </c>
      <c r="F413">
        <v>2</v>
      </c>
      <c r="G413" t="s">
        <v>159</v>
      </c>
      <c r="H413" t="s">
        <v>160</v>
      </c>
      <c r="I413" t="s">
        <v>36</v>
      </c>
    </row>
    <row r="414" spans="1:9" x14ac:dyDescent="0.25">
      <c r="A414">
        <v>413</v>
      </c>
      <c r="B414">
        <v>33</v>
      </c>
      <c r="C414" s="3">
        <v>45270</v>
      </c>
      <c r="D414" t="s">
        <v>7</v>
      </c>
      <c r="E414" t="s">
        <v>8</v>
      </c>
      <c r="F414">
        <v>2</v>
      </c>
      <c r="G414" t="s">
        <v>113</v>
      </c>
      <c r="H414" t="s">
        <v>114</v>
      </c>
      <c r="I414" t="s">
        <v>36</v>
      </c>
    </row>
    <row r="415" spans="1:9" x14ac:dyDescent="0.25">
      <c r="A415">
        <v>414</v>
      </c>
      <c r="B415">
        <v>33</v>
      </c>
      <c r="C415" s="3">
        <v>45270</v>
      </c>
      <c r="D415" t="s">
        <v>7</v>
      </c>
      <c r="E415" t="s">
        <v>8</v>
      </c>
      <c r="F415">
        <v>2</v>
      </c>
      <c r="G415" t="s">
        <v>58</v>
      </c>
      <c r="H415" t="s">
        <v>59</v>
      </c>
      <c r="I415" t="s">
        <v>36</v>
      </c>
    </row>
    <row r="416" spans="1:9" x14ac:dyDescent="0.25">
      <c r="A416">
        <v>415</v>
      </c>
      <c r="B416">
        <v>33</v>
      </c>
      <c r="C416" s="3">
        <v>45270</v>
      </c>
      <c r="D416" t="s">
        <v>7</v>
      </c>
      <c r="E416" t="s">
        <v>8</v>
      </c>
      <c r="F416">
        <v>2</v>
      </c>
      <c r="G416" t="s">
        <v>185</v>
      </c>
      <c r="H416" t="s">
        <v>186</v>
      </c>
      <c r="I416" t="s">
        <v>36</v>
      </c>
    </row>
    <row r="417" spans="1:9" x14ac:dyDescent="0.25">
      <c r="A417">
        <v>416</v>
      </c>
      <c r="B417">
        <v>33</v>
      </c>
      <c r="C417" s="3">
        <v>45270</v>
      </c>
      <c r="D417" t="s">
        <v>7</v>
      </c>
      <c r="E417" t="s">
        <v>8</v>
      </c>
      <c r="F417">
        <v>2</v>
      </c>
      <c r="G417" t="s">
        <v>74</v>
      </c>
      <c r="H417" t="s">
        <v>75</v>
      </c>
      <c r="I417" t="s">
        <v>36</v>
      </c>
    </row>
    <row r="418" spans="1:9" x14ac:dyDescent="0.25">
      <c r="A418">
        <v>417</v>
      </c>
      <c r="B418">
        <v>33</v>
      </c>
      <c r="C418" s="3">
        <v>45270</v>
      </c>
      <c r="D418" t="s">
        <v>7</v>
      </c>
      <c r="E418" t="s">
        <v>8</v>
      </c>
      <c r="F418">
        <v>2</v>
      </c>
      <c r="G418" t="s">
        <v>193</v>
      </c>
      <c r="H418" t="s">
        <v>194</v>
      </c>
      <c r="I418" t="s">
        <v>36</v>
      </c>
    </row>
    <row r="419" spans="1:9" x14ac:dyDescent="0.25">
      <c r="A419">
        <v>418</v>
      </c>
      <c r="B419">
        <v>33</v>
      </c>
      <c r="C419" s="3">
        <v>45270</v>
      </c>
      <c r="D419" t="s">
        <v>7</v>
      </c>
      <c r="E419" t="s">
        <v>8</v>
      </c>
      <c r="F419">
        <v>2</v>
      </c>
      <c r="G419" t="s">
        <v>76</v>
      </c>
      <c r="H419" t="s">
        <v>77</v>
      </c>
      <c r="I419" t="s">
        <v>36</v>
      </c>
    </row>
    <row r="420" spans="1:9" x14ac:dyDescent="0.25">
      <c r="A420">
        <v>419</v>
      </c>
      <c r="B420">
        <v>33</v>
      </c>
      <c r="C420" s="3">
        <v>45270</v>
      </c>
      <c r="D420" t="s">
        <v>7</v>
      </c>
      <c r="E420" t="s">
        <v>8</v>
      </c>
      <c r="F420">
        <v>2</v>
      </c>
      <c r="G420" t="s">
        <v>153</v>
      </c>
      <c r="H420" t="s">
        <v>154</v>
      </c>
      <c r="I420" t="s">
        <v>36</v>
      </c>
    </row>
    <row r="421" spans="1:9" x14ac:dyDescent="0.25">
      <c r="A421">
        <v>420</v>
      </c>
      <c r="B421">
        <v>33</v>
      </c>
      <c r="C421" s="3">
        <v>45270</v>
      </c>
      <c r="D421" t="s">
        <v>7</v>
      </c>
      <c r="E421" t="s">
        <v>8</v>
      </c>
      <c r="F421">
        <v>2</v>
      </c>
      <c r="G421" t="s">
        <v>139</v>
      </c>
      <c r="H421" t="s">
        <v>140</v>
      </c>
      <c r="I421" t="s">
        <v>36</v>
      </c>
    </row>
    <row r="422" spans="1:9" x14ac:dyDescent="0.25">
      <c r="A422">
        <v>421</v>
      </c>
      <c r="B422">
        <v>33</v>
      </c>
      <c r="C422" s="3">
        <v>45270</v>
      </c>
      <c r="D422" t="s">
        <v>7</v>
      </c>
      <c r="E422" t="s">
        <v>8</v>
      </c>
      <c r="F422">
        <v>2</v>
      </c>
      <c r="G422" t="s">
        <v>115</v>
      </c>
      <c r="H422" t="s">
        <v>116</v>
      </c>
      <c r="I422" t="s">
        <v>36</v>
      </c>
    </row>
    <row r="423" spans="1:9" x14ac:dyDescent="0.25">
      <c r="A423">
        <v>422</v>
      </c>
      <c r="B423">
        <v>33</v>
      </c>
      <c r="C423" s="3">
        <v>45270</v>
      </c>
      <c r="D423" t="s">
        <v>7</v>
      </c>
      <c r="E423" t="s">
        <v>8</v>
      </c>
      <c r="F423">
        <v>2</v>
      </c>
      <c r="G423" t="s">
        <v>62</v>
      </c>
      <c r="H423" t="s">
        <v>63</v>
      </c>
      <c r="I423" t="s">
        <v>36</v>
      </c>
    </row>
    <row r="424" spans="1:9" x14ac:dyDescent="0.25">
      <c r="A424">
        <v>423</v>
      </c>
      <c r="B424">
        <v>33</v>
      </c>
      <c r="C424" s="3">
        <v>45270</v>
      </c>
      <c r="D424" t="s">
        <v>7</v>
      </c>
      <c r="E424" t="s">
        <v>8</v>
      </c>
      <c r="F424">
        <v>2</v>
      </c>
      <c r="G424" t="s">
        <v>177</v>
      </c>
      <c r="H424" t="s">
        <v>178</v>
      </c>
      <c r="I424" t="s">
        <v>36</v>
      </c>
    </row>
    <row r="425" spans="1:9" x14ac:dyDescent="0.25">
      <c r="A425">
        <v>424</v>
      </c>
      <c r="B425">
        <v>33</v>
      </c>
      <c r="C425" s="3">
        <v>45270</v>
      </c>
      <c r="D425" t="s">
        <v>7</v>
      </c>
      <c r="E425" t="s">
        <v>8</v>
      </c>
      <c r="F425">
        <v>2</v>
      </c>
      <c r="G425" t="s">
        <v>201</v>
      </c>
      <c r="H425" t="s">
        <v>202</v>
      </c>
      <c r="I425" t="s">
        <v>36</v>
      </c>
    </row>
    <row r="426" spans="1:9" x14ac:dyDescent="0.25">
      <c r="A426">
        <v>425</v>
      </c>
      <c r="B426">
        <v>33</v>
      </c>
      <c r="C426" s="3">
        <v>45270</v>
      </c>
      <c r="D426" t="s">
        <v>7</v>
      </c>
      <c r="E426" t="s">
        <v>8</v>
      </c>
      <c r="F426">
        <v>2</v>
      </c>
      <c r="G426" t="s">
        <v>179</v>
      </c>
      <c r="H426" t="s">
        <v>180</v>
      </c>
      <c r="I426" t="s">
        <v>36</v>
      </c>
    </row>
    <row r="427" spans="1:9" x14ac:dyDescent="0.25">
      <c r="A427" s="4">
        <v>426</v>
      </c>
      <c r="B427" s="6">
        <v>34</v>
      </c>
      <c r="C427" s="5">
        <v>45277</v>
      </c>
      <c r="D427" s="6" t="s">
        <v>11</v>
      </c>
      <c r="E427" s="6" t="s">
        <v>12</v>
      </c>
      <c r="F427" s="6">
        <v>4</v>
      </c>
      <c r="G427" s="6" t="s">
        <v>95</v>
      </c>
      <c r="H427" s="6" t="s">
        <v>96</v>
      </c>
      <c r="I427" s="7" t="s">
        <v>97</v>
      </c>
    </row>
    <row r="428" spans="1:9" x14ac:dyDescent="0.25">
      <c r="A428" s="14">
        <v>427</v>
      </c>
      <c r="B428" s="15">
        <v>34</v>
      </c>
      <c r="C428" s="16">
        <v>45277</v>
      </c>
      <c r="D428" s="15" t="s">
        <v>11</v>
      </c>
      <c r="E428" s="15" t="s">
        <v>12</v>
      </c>
      <c r="F428" s="15">
        <v>4</v>
      </c>
      <c r="G428" s="15" t="s">
        <v>117</v>
      </c>
      <c r="H428" s="15" t="s">
        <v>118</v>
      </c>
      <c r="I428" s="17" t="s">
        <v>119</v>
      </c>
    </row>
    <row r="429" spans="1:9" x14ac:dyDescent="0.25">
      <c r="A429" s="4">
        <v>428</v>
      </c>
      <c r="B429" s="6">
        <v>34</v>
      </c>
      <c r="C429" s="5">
        <v>45277</v>
      </c>
      <c r="D429" s="6" t="s">
        <v>11</v>
      </c>
      <c r="E429" s="6" t="s">
        <v>12</v>
      </c>
      <c r="F429" s="6">
        <v>4</v>
      </c>
      <c r="G429" s="6" t="s">
        <v>120</v>
      </c>
      <c r="H429" s="6" t="s">
        <v>121</v>
      </c>
      <c r="I429" s="7" t="s">
        <v>122</v>
      </c>
    </row>
    <row r="430" spans="1:9" x14ac:dyDescent="0.25">
      <c r="A430" s="14">
        <v>429</v>
      </c>
      <c r="B430" s="15">
        <v>34</v>
      </c>
      <c r="C430" s="16">
        <v>45277</v>
      </c>
      <c r="D430" s="15" t="s">
        <v>11</v>
      </c>
      <c r="E430" s="15" t="s">
        <v>12</v>
      </c>
      <c r="F430" s="15">
        <v>4</v>
      </c>
      <c r="G430" s="15" t="s">
        <v>125</v>
      </c>
      <c r="H430" s="15" t="s">
        <v>126</v>
      </c>
      <c r="I430" s="17" t="s">
        <v>97</v>
      </c>
    </row>
    <row r="431" spans="1:9" x14ac:dyDescent="0.25">
      <c r="A431" s="4">
        <v>430</v>
      </c>
      <c r="B431" s="6">
        <v>34</v>
      </c>
      <c r="C431" s="5">
        <v>45277</v>
      </c>
      <c r="D431" s="6" t="s">
        <v>11</v>
      </c>
      <c r="E431" s="6" t="s">
        <v>12</v>
      </c>
      <c r="F431" s="6">
        <v>4</v>
      </c>
      <c r="G431" s="6" t="s">
        <v>173</v>
      </c>
      <c r="H431" s="6" t="s">
        <v>174</v>
      </c>
      <c r="I431" s="7" t="s">
        <v>119</v>
      </c>
    </row>
    <row r="432" spans="1:9" x14ac:dyDescent="0.25">
      <c r="A432" s="14">
        <v>431</v>
      </c>
      <c r="B432" s="15">
        <v>34</v>
      </c>
      <c r="C432" s="16">
        <v>45277</v>
      </c>
      <c r="D432" s="15" t="s">
        <v>11</v>
      </c>
      <c r="E432" s="15" t="s">
        <v>12</v>
      </c>
      <c r="F432" s="15">
        <v>4</v>
      </c>
      <c r="G432" s="15" t="s">
        <v>109</v>
      </c>
      <c r="H432" s="15" t="s">
        <v>110</v>
      </c>
      <c r="I432" s="17" t="s">
        <v>97</v>
      </c>
    </row>
    <row r="433" spans="1:9" x14ac:dyDescent="0.25">
      <c r="A433" s="4">
        <v>432</v>
      </c>
      <c r="B433" s="6">
        <v>34</v>
      </c>
      <c r="C433" s="5">
        <v>45277</v>
      </c>
      <c r="D433" s="6" t="s">
        <v>11</v>
      </c>
      <c r="E433" s="6" t="s">
        <v>12</v>
      </c>
      <c r="F433" s="6">
        <v>4</v>
      </c>
      <c r="G433" s="6" t="s">
        <v>113</v>
      </c>
      <c r="H433" s="6" t="s">
        <v>114</v>
      </c>
      <c r="I433" s="7" t="s">
        <v>36</v>
      </c>
    </row>
    <row r="434" spans="1:9" x14ac:dyDescent="0.25">
      <c r="A434" s="14">
        <v>433</v>
      </c>
      <c r="B434" s="15">
        <v>34</v>
      </c>
      <c r="C434" s="16">
        <v>45277</v>
      </c>
      <c r="D434" s="15" t="s">
        <v>11</v>
      </c>
      <c r="E434" s="15" t="s">
        <v>12</v>
      </c>
      <c r="F434" s="15">
        <v>4</v>
      </c>
      <c r="G434" s="15" t="s">
        <v>217</v>
      </c>
      <c r="H434" s="15" t="s">
        <v>218</v>
      </c>
      <c r="I434" s="17" t="s">
        <v>97</v>
      </c>
    </row>
    <row r="435" spans="1:9" x14ac:dyDescent="0.25">
      <c r="A435" s="4">
        <v>434</v>
      </c>
      <c r="B435" s="6">
        <v>34</v>
      </c>
      <c r="C435" s="5">
        <v>45277</v>
      </c>
      <c r="D435" s="6" t="s">
        <v>11</v>
      </c>
      <c r="E435" s="6" t="s">
        <v>12</v>
      </c>
      <c r="F435" s="6">
        <v>4</v>
      </c>
      <c r="G435" s="6" t="s">
        <v>191</v>
      </c>
      <c r="H435" s="6" t="s">
        <v>192</v>
      </c>
      <c r="I435" s="7" t="s">
        <v>119</v>
      </c>
    </row>
    <row r="436" spans="1:9" x14ac:dyDescent="0.25">
      <c r="A436" s="14">
        <v>435</v>
      </c>
      <c r="B436" s="15">
        <v>34</v>
      </c>
      <c r="C436" s="16">
        <v>45277</v>
      </c>
      <c r="D436" s="15" t="s">
        <v>11</v>
      </c>
      <c r="E436" s="15" t="s">
        <v>12</v>
      </c>
      <c r="F436" s="15">
        <v>4</v>
      </c>
      <c r="G436" s="15" t="s">
        <v>175</v>
      </c>
      <c r="H436" s="15" t="s">
        <v>176</v>
      </c>
      <c r="I436" s="17" t="s">
        <v>97</v>
      </c>
    </row>
    <row r="437" spans="1:9" x14ac:dyDescent="0.25">
      <c r="A437" s="4">
        <v>436</v>
      </c>
      <c r="B437" s="6">
        <v>34</v>
      </c>
      <c r="C437" s="5">
        <v>45277</v>
      </c>
      <c r="D437" s="6" t="s">
        <v>11</v>
      </c>
      <c r="E437" s="6" t="s">
        <v>12</v>
      </c>
      <c r="F437" s="6">
        <v>4</v>
      </c>
      <c r="G437" s="6" t="s">
        <v>205</v>
      </c>
      <c r="H437" s="6" t="s">
        <v>206</v>
      </c>
      <c r="I437" s="7" t="s">
        <v>122</v>
      </c>
    </row>
    <row r="438" spans="1:9" x14ac:dyDescent="0.25">
      <c r="A438" s="14">
        <v>437</v>
      </c>
      <c r="B438" s="15">
        <v>34</v>
      </c>
      <c r="C438" s="16">
        <v>45277</v>
      </c>
      <c r="D438" s="15" t="s">
        <v>11</v>
      </c>
      <c r="E438" s="15" t="s">
        <v>12</v>
      </c>
      <c r="F438" s="15">
        <v>4</v>
      </c>
      <c r="G438" s="15" t="s">
        <v>193</v>
      </c>
      <c r="H438" s="15" t="s">
        <v>194</v>
      </c>
      <c r="I438" s="17" t="s">
        <v>36</v>
      </c>
    </row>
    <row r="439" spans="1:9" x14ac:dyDescent="0.25">
      <c r="A439" s="4">
        <v>438</v>
      </c>
      <c r="B439" s="6">
        <v>34</v>
      </c>
      <c r="C439" s="5">
        <v>45277</v>
      </c>
      <c r="D439" s="6" t="s">
        <v>11</v>
      </c>
      <c r="E439" s="6" t="s">
        <v>12</v>
      </c>
      <c r="F439" s="6">
        <v>4</v>
      </c>
      <c r="G439" s="6" t="s">
        <v>167</v>
      </c>
      <c r="H439" s="6" t="s">
        <v>168</v>
      </c>
      <c r="I439" s="7" t="s">
        <v>122</v>
      </c>
    </row>
    <row r="440" spans="1:9" x14ac:dyDescent="0.25">
      <c r="A440" s="14">
        <v>439</v>
      </c>
      <c r="B440" s="15">
        <v>34</v>
      </c>
      <c r="C440" s="16">
        <v>45277</v>
      </c>
      <c r="D440" s="15" t="s">
        <v>11</v>
      </c>
      <c r="E440" s="15" t="s">
        <v>12</v>
      </c>
      <c r="F440" s="15">
        <v>4</v>
      </c>
      <c r="G440" s="15" t="s">
        <v>169</v>
      </c>
      <c r="H440" s="15" t="s">
        <v>170</v>
      </c>
      <c r="I440" s="17" t="s">
        <v>122</v>
      </c>
    </row>
    <row r="441" spans="1:9" x14ac:dyDescent="0.25">
      <c r="A441" s="4">
        <v>440</v>
      </c>
      <c r="B441" s="6">
        <v>34</v>
      </c>
      <c r="C441" s="5">
        <v>45277</v>
      </c>
      <c r="D441" s="6" t="s">
        <v>11</v>
      </c>
      <c r="E441" s="6" t="s">
        <v>12</v>
      </c>
      <c r="F441" s="6">
        <v>4</v>
      </c>
      <c r="G441" s="6" t="s">
        <v>201</v>
      </c>
      <c r="H441" s="6" t="s">
        <v>202</v>
      </c>
      <c r="I441" s="7" t="s">
        <v>36</v>
      </c>
    </row>
    <row r="442" spans="1:9" x14ac:dyDescent="0.25">
      <c r="A442">
        <v>441</v>
      </c>
      <c r="B442">
        <v>35</v>
      </c>
      <c r="C442" s="3">
        <v>45153</v>
      </c>
      <c r="D442" t="s">
        <v>20</v>
      </c>
      <c r="E442" t="s">
        <v>14</v>
      </c>
      <c r="F442">
        <v>3</v>
      </c>
      <c r="G442" t="s">
        <v>28</v>
      </c>
      <c r="H442" t="s">
        <v>29</v>
      </c>
      <c r="I442" t="s">
        <v>30</v>
      </c>
    </row>
    <row r="443" spans="1:9" x14ac:dyDescent="0.25">
      <c r="A443">
        <v>442</v>
      </c>
      <c r="B443">
        <v>35</v>
      </c>
      <c r="C443" s="3">
        <v>45153</v>
      </c>
      <c r="D443" t="s">
        <v>20</v>
      </c>
      <c r="E443" t="s">
        <v>14</v>
      </c>
      <c r="F443">
        <v>3</v>
      </c>
      <c r="G443" t="s">
        <v>117</v>
      </c>
      <c r="H443" t="s">
        <v>118</v>
      </c>
      <c r="I443" t="s">
        <v>119</v>
      </c>
    </row>
    <row r="444" spans="1:9" x14ac:dyDescent="0.25">
      <c r="A444">
        <v>443</v>
      </c>
      <c r="B444">
        <v>35</v>
      </c>
      <c r="C444" s="3">
        <v>45153</v>
      </c>
      <c r="D444" t="s">
        <v>20</v>
      </c>
      <c r="E444" t="s">
        <v>14</v>
      </c>
      <c r="F444">
        <v>3</v>
      </c>
      <c r="G444" t="s">
        <v>187</v>
      </c>
      <c r="H444" t="s">
        <v>188</v>
      </c>
      <c r="I444" t="s">
        <v>30</v>
      </c>
    </row>
    <row r="445" spans="1:9" x14ac:dyDescent="0.25">
      <c r="A445">
        <v>444</v>
      </c>
      <c r="B445">
        <v>35</v>
      </c>
      <c r="C445" s="3">
        <v>45153</v>
      </c>
      <c r="D445" t="s">
        <v>20</v>
      </c>
      <c r="E445" t="s">
        <v>14</v>
      </c>
      <c r="F445">
        <v>3</v>
      </c>
      <c r="G445" t="s">
        <v>78</v>
      </c>
      <c r="H445" t="s">
        <v>79</v>
      </c>
      <c r="I445" t="s">
        <v>80</v>
      </c>
    </row>
    <row r="446" spans="1:9" x14ac:dyDescent="0.25">
      <c r="A446">
        <v>445</v>
      </c>
      <c r="B446">
        <v>35</v>
      </c>
      <c r="C446" s="3">
        <v>45153</v>
      </c>
      <c r="D446" t="s">
        <v>20</v>
      </c>
      <c r="E446" t="s">
        <v>14</v>
      </c>
      <c r="F446">
        <v>3</v>
      </c>
      <c r="G446" t="s">
        <v>143</v>
      </c>
      <c r="H446" t="s">
        <v>144</v>
      </c>
      <c r="I446"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39CB0-52A2-425B-AC15-5A4BAFE30D70}">
  <sheetPr codeName="Dashboard"/>
  <dimension ref="B2:AG36"/>
  <sheetViews>
    <sheetView showGridLines="0" tabSelected="1" zoomScale="80" zoomScaleNormal="80" workbookViewId="0">
      <selection activeCell="AH7" sqref="AH7"/>
    </sheetView>
  </sheetViews>
  <sheetFormatPr defaultRowHeight="15" x14ac:dyDescent="0.25"/>
  <cols>
    <col min="1" max="2" width="2.7109375" customWidth="1"/>
    <col min="3" max="5" width="9.7109375" customWidth="1"/>
    <col min="6" max="6" width="2.7109375" customWidth="1"/>
    <col min="7" max="7" width="5.7109375" customWidth="1"/>
    <col min="14" max="14" width="2.7109375" customWidth="1"/>
    <col min="22" max="22" width="2.7109375" customWidth="1"/>
    <col min="23" max="23" width="5.7109375" customWidth="1"/>
    <col min="24" max="28" width="10.28515625" customWidth="1"/>
    <col min="29" max="30" width="2.7109375" customWidth="1"/>
  </cols>
  <sheetData>
    <row r="2" spans="2:33" x14ac:dyDescent="0.25">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row>
    <row r="3" spans="2:33" ht="20.100000000000001" customHeight="1" x14ac:dyDescent="0.25">
      <c r="B3" s="22"/>
      <c r="C3" s="22"/>
      <c r="D3" s="22"/>
      <c r="E3" s="22"/>
      <c r="F3" s="22"/>
      <c r="G3" s="22"/>
      <c r="H3" s="22"/>
      <c r="I3" s="22"/>
      <c r="J3" s="22"/>
      <c r="K3" s="22"/>
      <c r="L3" s="22"/>
      <c r="M3" s="22"/>
      <c r="N3" s="22"/>
      <c r="O3" s="22"/>
      <c r="P3" s="22"/>
      <c r="Q3" s="22"/>
      <c r="R3" s="22"/>
      <c r="S3" s="22"/>
      <c r="T3" s="22"/>
      <c r="U3" s="22"/>
      <c r="V3" s="22"/>
      <c r="W3" s="30"/>
      <c r="X3" s="30"/>
      <c r="Y3" s="30"/>
      <c r="Z3" s="30"/>
      <c r="AA3" s="30"/>
      <c r="AB3" s="31"/>
      <c r="AC3" s="22"/>
    </row>
    <row r="4" spans="2:33" ht="9.9499999999999993" customHeight="1" x14ac:dyDescent="0.25">
      <c r="B4" s="22"/>
      <c r="C4" s="22"/>
      <c r="D4" s="22"/>
      <c r="E4" s="22"/>
      <c r="F4" s="22"/>
      <c r="G4" s="22"/>
      <c r="H4" s="22"/>
      <c r="I4" s="22"/>
      <c r="J4" s="22"/>
      <c r="K4" s="22"/>
      <c r="L4" s="22"/>
      <c r="M4" s="22"/>
      <c r="N4" s="22"/>
      <c r="O4" s="22"/>
      <c r="P4" s="22"/>
      <c r="Q4" s="22"/>
      <c r="R4" s="22"/>
      <c r="S4" s="22"/>
      <c r="T4" s="22"/>
      <c r="U4" s="22"/>
      <c r="V4" s="22"/>
      <c r="W4" s="24"/>
      <c r="X4" s="24"/>
      <c r="Y4" s="24"/>
      <c r="Z4" s="24"/>
      <c r="AA4" s="24"/>
      <c r="AB4" s="25"/>
      <c r="AC4" s="22"/>
    </row>
    <row r="5" spans="2:33" ht="24.95" customHeight="1" x14ac:dyDescent="0.25">
      <c r="B5" s="22"/>
      <c r="C5" s="35">
        <f>IFERROR(COUNT(tbl_TrainingRecords['# Trainer]),0)</f>
        <v>35</v>
      </c>
      <c r="D5" s="28"/>
      <c r="E5" s="28"/>
      <c r="F5" s="22"/>
      <c r="G5" s="22"/>
      <c r="H5" s="22"/>
      <c r="I5" s="22"/>
      <c r="J5" s="22"/>
      <c r="K5" s="22"/>
      <c r="L5" s="22"/>
      <c r="M5" s="22"/>
      <c r="N5" s="22"/>
      <c r="O5" s="22"/>
      <c r="P5" s="22"/>
      <c r="Q5" s="22"/>
      <c r="R5" s="22"/>
      <c r="S5" s="22"/>
      <c r="T5" s="22"/>
      <c r="U5" s="22"/>
      <c r="V5" s="22"/>
      <c r="W5" s="24"/>
      <c r="X5" s="24"/>
      <c r="Y5" s="24"/>
      <c r="Z5" s="24"/>
      <c r="AA5" s="24"/>
      <c r="AB5" s="25"/>
      <c r="AC5" s="22"/>
    </row>
    <row r="6" spans="2:33" ht="5.0999999999999996" customHeight="1" x14ac:dyDescent="0.25">
      <c r="B6" s="22"/>
      <c r="C6" s="22"/>
      <c r="D6" s="22"/>
      <c r="E6" s="22"/>
      <c r="F6" s="22"/>
      <c r="G6" s="22"/>
      <c r="H6" s="22"/>
      <c r="I6" s="22"/>
      <c r="J6" s="22"/>
      <c r="K6" s="22"/>
      <c r="L6" s="22"/>
      <c r="M6" s="22"/>
      <c r="N6" s="22"/>
      <c r="O6" s="22"/>
      <c r="P6" s="22"/>
      <c r="Q6" s="22"/>
      <c r="R6" s="22"/>
      <c r="S6" s="22"/>
      <c r="T6" s="22"/>
      <c r="U6" s="22"/>
      <c r="V6" s="22"/>
      <c r="W6" s="24"/>
      <c r="X6" s="24"/>
      <c r="Y6" s="24"/>
      <c r="Z6" s="24"/>
      <c r="AA6" s="24"/>
      <c r="AB6" s="25"/>
      <c r="AC6" s="22"/>
    </row>
    <row r="7" spans="2:33" ht="24.95" customHeight="1" x14ac:dyDescent="0.25">
      <c r="B7" s="22"/>
      <c r="C7" s="35">
        <f>IFERROR(SUM(tbl_TrainingRecords[Training Hrs.]),0)</f>
        <v>189</v>
      </c>
      <c r="D7" s="28"/>
      <c r="E7" s="28"/>
      <c r="F7" s="22"/>
      <c r="G7" s="22"/>
      <c r="H7" s="22"/>
      <c r="I7" s="22"/>
      <c r="J7" s="22"/>
      <c r="K7" s="22"/>
      <c r="L7" s="22"/>
      <c r="M7" s="22"/>
      <c r="N7" s="22"/>
      <c r="O7" s="22"/>
      <c r="P7" s="22"/>
      <c r="Q7" s="22"/>
      <c r="R7" s="22"/>
      <c r="S7" s="22"/>
      <c r="T7" s="22"/>
      <c r="U7" s="22"/>
      <c r="V7" s="22"/>
      <c r="W7" s="24"/>
      <c r="X7" s="24"/>
      <c r="Y7" s="24"/>
      <c r="Z7" s="24"/>
      <c r="AA7" s="24"/>
      <c r="AB7" s="25"/>
      <c r="AC7" s="22"/>
    </row>
    <row r="8" spans="2:33" ht="5.0999999999999996" customHeight="1" x14ac:dyDescent="0.25">
      <c r="B8" s="22"/>
      <c r="C8" s="22"/>
      <c r="D8" s="22"/>
      <c r="E8" s="22"/>
      <c r="F8" s="22"/>
      <c r="G8" s="22"/>
      <c r="H8" s="22"/>
      <c r="I8" s="22"/>
      <c r="J8" s="22"/>
      <c r="K8" s="22"/>
      <c r="L8" s="22"/>
      <c r="M8" s="22"/>
      <c r="N8" s="22"/>
      <c r="O8" s="22"/>
      <c r="P8" s="22"/>
      <c r="Q8" s="22"/>
      <c r="R8" s="22"/>
      <c r="S8" s="22"/>
      <c r="T8" s="22"/>
      <c r="U8" s="22"/>
      <c r="V8" s="22"/>
      <c r="W8" s="24"/>
      <c r="X8" s="24"/>
      <c r="Y8" s="24"/>
      <c r="Z8" s="24"/>
      <c r="AA8" s="24"/>
      <c r="AB8" s="25"/>
      <c r="AC8" s="22"/>
    </row>
    <row r="9" spans="2:33" ht="24.95" customHeight="1" x14ac:dyDescent="0.25">
      <c r="B9" s="22"/>
      <c r="C9" s="35">
        <f>IFERROR(SUM(tbl_TraineeRecords[Training Hrs.]),0)</f>
        <v>2378</v>
      </c>
      <c r="D9" s="28"/>
      <c r="E9" s="28"/>
      <c r="F9" s="22"/>
      <c r="G9" s="22"/>
      <c r="H9" s="22"/>
      <c r="I9" s="22"/>
      <c r="J9" s="22"/>
      <c r="K9" s="22"/>
      <c r="L9" s="22"/>
      <c r="M9" s="22"/>
      <c r="N9" s="22"/>
      <c r="O9" s="22"/>
      <c r="P9" s="22"/>
      <c r="Q9" s="22"/>
      <c r="R9" s="22"/>
      <c r="S9" s="22"/>
      <c r="T9" s="22"/>
      <c r="U9" s="22"/>
      <c r="V9" s="22"/>
      <c r="W9" s="24"/>
      <c r="X9" s="24"/>
      <c r="Y9" s="24"/>
      <c r="Z9" s="24"/>
      <c r="AA9" s="24"/>
      <c r="AB9" s="25"/>
      <c r="AC9" s="22"/>
    </row>
    <row r="10" spans="2:33" ht="5.0999999999999996" customHeight="1" x14ac:dyDescent="0.25">
      <c r="B10" s="22"/>
      <c r="C10" s="22"/>
      <c r="D10" s="22"/>
      <c r="E10" s="22"/>
      <c r="F10" s="22"/>
      <c r="G10" s="22"/>
      <c r="H10" s="22"/>
      <c r="I10" s="22"/>
      <c r="J10" s="22"/>
      <c r="K10" s="22"/>
      <c r="L10" s="22"/>
      <c r="M10" s="22"/>
      <c r="N10" s="22"/>
      <c r="O10" s="22"/>
      <c r="P10" s="22"/>
      <c r="Q10" s="22"/>
      <c r="R10" s="22"/>
      <c r="S10" s="22"/>
      <c r="T10" s="22"/>
      <c r="U10" s="22"/>
      <c r="V10" s="22"/>
      <c r="W10" s="24"/>
      <c r="X10" s="24"/>
      <c r="Y10" s="24"/>
      <c r="Z10" s="24"/>
      <c r="AA10" s="24"/>
      <c r="AB10" s="25"/>
      <c r="AC10" s="22"/>
    </row>
    <row r="11" spans="2:33" ht="20.100000000000001" customHeight="1" x14ac:dyDescent="0.25">
      <c r="B11" s="23"/>
      <c r="C11" s="23"/>
      <c r="D11" s="23"/>
      <c r="E11" s="23"/>
      <c r="F11" s="23"/>
      <c r="G11" s="23"/>
      <c r="H11" s="23"/>
      <c r="I11" s="23"/>
      <c r="J11" s="23"/>
      <c r="K11" s="23"/>
      <c r="L11" s="23"/>
      <c r="M11" s="23"/>
      <c r="N11" s="23"/>
      <c r="O11" s="23"/>
      <c r="P11" s="23"/>
      <c r="Q11" s="23"/>
      <c r="R11" s="23"/>
      <c r="S11" s="23"/>
      <c r="T11" s="23"/>
      <c r="U11" s="23"/>
      <c r="V11" s="23"/>
      <c r="W11" s="24"/>
      <c r="X11" s="24"/>
      <c r="Y11" s="24"/>
      <c r="Z11" s="24"/>
      <c r="AA11" s="24"/>
      <c r="AB11" s="25"/>
      <c r="AC11" s="23"/>
    </row>
    <row r="12" spans="2:33" ht="20.100000000000001" customHeight="1" x14ac:dyDescent="0.25">
      <c r="B12" s="23"/>
      <c r="C12" s="23"/>
      <c r="D12" s="23"/>
      <c r="E12" s="23"/>
      <c r="F12" s="23"/>
      <c r="G12" s="23"/>
      <c r="H12" s="23"/>
      <c r="I12" s="23"/>
      <c r="J12" s="23"/>
      <c r="K12" s="23"/>
      <c r="L12" s="23"/>
      <c r="M12" s="23"/>
      <c r="N12" s="23"/>
      <c r="O12" s="23"/>
      <c r="P12" s="23"/>
      <c r="Q12" s="23"/>
      <c r="R12" s="23"/>
      <c r="S12" s="23"/>
      <c r="T12" s="23"/>
      <c r="U12" s="23"/>
      <c r="V12" s="23"/>
      <c r="W12" s="24"/>
      <c r="X12" s="24"/>
      <c r="Y12" s="24"/>
      <c r="Z12" s="24"/>
      <c r="AA12" s="24"/>
      <c r="AB12" s="25"/>
      <c r="AC12" s="23"/>
    </row>
    <row r="13" spans="2:33" ht="20.100000000000001" customHeight="1" x14ac:dyDescent="0.25">
      <c r="B13" s="23"/>
      <c r="C13" s="23"/>
      <c r="D13" s="23"/>
      <c r="E13" s="23"/>
      <c r="F13" s="23"/>
      <c r="G13" s="23"/>
      <c r="H13" s="23"/>
      <c r="I13" s="23"/>
      <c r="J13" s="23"/>
      <c r="K13" s="23"/>
      <c r="L13" s="23"/>
      <c r="M13" s="23"/>
      <c r="N13" s="23"/>
      <c r="O13" s="23"/>
      <c r="P13" s="23"/>
      <c r="Q13" s="23"/>
      <c r="R13" s="23"/>
      <c r="S13" s="23"/>
      <c r="T13" s="23"/>
      <c r="U13" s="23"/>
      <c r="V13" s="23"/>
      <c r="W13" s="24"/>
      <c r="X13" s="24"/>
      <c r="Y13" s="24"/>
      <c r="Z13" s="24"/>
      <c r="AA13" s="24"/>
      <c r="AB13" s="25"/>
      <c r="AC13" s="23"/>
    </row>
    <row r="14" spans="2:33" ht="20.100000000000001" customHeight="1" x14ac:dyDescent="0.3">
      <c r="B14" s="23"/>
      <c r="C14" s="23"/>
      <c r="D14" s="23"/>
      <c r="E14" s="23"/>
      <c r="F14" s="23"/>
      <c r="G14" s="23"/>
      <c r="H14" s="23"/>
      <c r="I14" s="23"/>
      <c r="J14" s="23"/>
      <c r="K14" s="23"/>
      <c r="L14" s="23"/>
      <c r="M14" s="23"/>
      <c r="N14" s="23"/>
      <c r="O14" s="23"/>
      <c r="P14" s="23"/>
      <c r="Q14" s="23"/>
      <c r="R14" s="23"/>
      <c r="S14" s="23"/>
      <c r="T14" s="23"/>
      <c r="U14" s="23"/>
      <c r="V14" s="23"/>
      <c r="W14" s="24"/>
      <c r="X14" s="24"/>
      <c r="Y14" s="24"/>
      <c r="Z14" s="24"/>
      <c r="AA14" s="24"/>
      <c r="AB14" s="25"/>
      <c r="AC14" s="23"/>
      <c r="AG14" s="36"/>
    </row>
    <row r="15" spans="2:33" ht="20.100000000000001" customHeight="1" x14ac:dyDescent="0.25">
      <c r="B15" s="23"/>
      <c r="C15" s="23"/>
      <c r="D15" s="23"/>
      <c r="E15" s="23"/>
      <c r="F15" s="23"/>
      <c r="G15" s="32"/>
      <c r="H15" s="32"/>
      <c r="I15" s="32"/>
      <c r="J15" s="32"/>
      <c r="K15" s="29"/>
      <c r="L15" s="29"/>
      <c r="M15" s="29"/>
      <c r="N15" s="23"/>
      <c r="O15" s="32"/>
      <c r="P15" s="32"/>
      <c r="Q15" s="32"/>
      <c r="R15" s="32"/>
      <c r="S15" s="32"/>
      <c r="T15" s="29"/>
      <c r="U15" s="29"/>
      <c r="V15" s="23"/>
      <c r="W15" s="30"/>
      <c r="X15" s="30"/>
      <c r="Y15" s="30"/>
      <c r="Z15" s="30"/>
      <c r="AA15" s="30"/>
      <c r="AB15" s="31"/>
      <c r="AC15" s="23"/>
    </row>
    <row r="16" spans="2:33" ht="20.100000000000001" customHeight="1" x14ac:dyDescent="0.25">
      <c r="B16" s="23"/>
      <c r="C16" s="23"/>
      <c r="D16" s="23"/>
      <c r="E16" s="23"/>
      <c r="F16" s="23"/>
      <c r="G16" s="23"/>
      <c r="H16" s="23"/>
      <c r="I16" s="23"/>
      <c r="J16" s="23"/>
      <c r="K16" s="23"/>
      <c r="L16" s="23"/>
      <c r="M16" s="23"/>
      <c r="N16" s="23"/>
      <c r="O16" s="23"/>
      <c r="P16" s="23"/>
      <c r="Q16" s="23"/>
      <c r="R16" s="23"/>
      <c r="S16" s="23"/>
      <c r="T16" s="23"/>
      <c r="U16" s="23"/>
      <c r="V16" s="23"/>
      <c r="W16" s="24"/>
      <c r="X16" s="24"/>
      <c r="Y16" s="24"/>
      <c r="Z16" s="24"/>
      <c r="AA16" s="24"/>
      <c r="AB16" s="25"/>
      <c r="AC16" s="23"/>
    </row>
    <row r="17" spans="2:29" ht="20.100000000000001" customHeight="1" x14ac:dyDescent="0.25">
      <c r="B17" s="23"/>
      <c r="C17" s="23"/>
      <c r="D17" s="23"/>
      <c r="E17" s="23"/>
      <c r="F17" s="23"/>
      <c r="G17" s="23"/>
      <c r="H17" s="23"/>
      <c r="I17" s="23"/>
      <c r="J17" s="23"/>
      <c r="K17" s="23"/>
      <c r="L17" s="23"/>
      <c r="M17" s="23"/>
      <c r="N17" s="23"/>
      <c r="O17" s="23"/>
      <c r="P17" s="23"/>
      <c r="Q17" s="23"/>
      <c r="R17" s="23"/>
      <c r="S17" s="23"/>
      <c r="T17" s="23"/>
      <c r="U17" s="23"/>
      <c r="V17" s="23"/>
      <c r="W17" s="24"/>
      <c r="X17" s="24"/>
      <c r="Y17" s="24"/>
      <c r="Z17" s="24"/>
      <c r="AA17" s="24"/>
      <c r="AB17" s="25"/>
      <c r="AC17" s="23"/>
    </row>
    <row r="18" spans="2:29" ht="20.100000000000001" customHeight="1" x14ac:dyDescent="0.25">
      <c r="B18" s="23"/>
      <c r="C18" s="23"/>
      <c r="D18" s="23"/>
      <c r="E18" s="23"/>
      <c r="F18" s="23"/>
      <c r="G18" s="23"/>
      <c r="H18" s="23"/>
      <c r="I18" s="23"/>
      <c r="J18" s="23"/>
      <c r="K18" s="23"/>
      <c r="L18" s="23"/>
      <c r="M18" s="23"/>
      <c r="N18" s="23"/>
      <c r="O18" s="23"/>
      <c r="P18" s="23"/>
      <c r="Q18" s="23"/>
      <c r="R18" s="23"/>
      <c r="S18" s="23"/>
      <c r="T18" s="23"/>
      <c r="U18" s="23"/>
      <c r="V18" s="23"/>
      <c r="W18" s="24"/>
      <c r="X18" s="24"/>
      <c r="Y18" s="24"/>
      <c r="Z18" s="24"/>
      <c r="AA18" s="24"/>
      <c r="AB18" s="25"/>
      <c r="AC18" s="23"/>
    </row>
    <row r="19" spans="2:29" ht="20.100000000000001" customHeight="1" x14ac:dyDescent="0.25">
      <c r="B19" s="23"/>
      <c r="C19" s="23"/>
      <c r="D19" s="23"/>
      <c r="E19" s="23"/>
      <c r="F19" s="23"/>
      <c r="G19" s="23"/>
      <c r="H19" s="23"/>
      <c r="I19" s="23"/>
      <c r="J19" s="23"/>
      <c r="K19" s="23"/>
      <c r="L19" s="23"/>
      <c r="M19" s="23"/>
      <c r="N19" s="23"/>
      <c r="O19" s="23"/>
      <c r="P19" s="23"/>
      <c r="Q19" s="23"/>
      <c r="R19" s="23"/>
      <c r="S19" s="23"/>
      <c r="T19" s="23"/>
      <c r="U19" s="23"/>
      <c r="V19" s="23"/>
      <c r="W19" s="24"/>
      <c r="X19" s="24"/>
      <c r="Y19" s="24"/>
      <c r="Z19" s="24"/>
      <c r="AA19" s="24"/>
      <c r="AB19" s="25"/>
      <c r="AC19" s="23"/>
    </row>
    <row r="20" spans="2:29" ht="20.100000000000001" customHeight="1" x14ac:dyDescent="0.25">
      <c r="B20" s="23"/>
      <c r="C20" s="23"/>
      <c r="D20" s="23"/>
      <c r="E20" s="23"/>
      <c r="F20" s="23"/>
      <c r="G20" s="23"/>
      <c r="H20" s="23"/>
      <c r="I20" s="23"/>
      <c r="J20" s="23"/>
      <c r="K20" s="23"/>
      <c r="L20" s="23"/>
      <c r="M20" s="23"/>
      <c r="N20" s="23"/>
      <c r="O20" s="23"/>
      <c r="P20" s="23"/>
      <c r="Q20" s="23"/>
      <c r="R20" s="23"/>
      <c r="S20" s="23"/>
      <c r="T20" s="23"/>
      <c r="U20" s="23"/>
      <c r="V20" s="23"/>
      <c r="W20" s="24"/>
      <c r="X20" s="24"/>
      <c r="Y20" s="24"/>
      <c r="Z20" s="24"/>
      <c r="AA20" s="24"/>
      <c r="AB20" s="25"/>
      <c r="AC20" s="23"/>
    </row>
    <row r="21" spans="2:29" ht="20.100000000000001" customHeight="1" x14ac:dyDescent="0.25">
      <c r="B21" s="23"/>
      <c r="C21" s="23"/>
      <c r="D21" s="23"/>
      <c r="E21" s="23"/>
      <c r="F21" s="23"/>
      <c r="G21" s="23"/>
      <c r="H21" s="23"/>
      <c r="I21" s="23"/>
      <c r="J21" s="23"/>
      <c r="K21" s="23"/>
      <c r="L21" s="23"/>
      <c r="M21" s="23"/>
      <c r="N21" s="23"/>
      <c r="O21" s="23"/>
      <c r="P21" s="23"/>
      <c r="Q21" s="23"/>
      <c r="R21" s="23"/>
      <c r="S21" s="23"/>
      <c r="T21" s="23"/>
      <c r="U21" s="23"/>
      <c r="V21" s="23"/>
      <c r="W21" s="24"/>
      <c r="X21" s="24"/>
      <c r="Y21" s="24"/>
      <c r="Z21" s="24"/>
      <c r="AA21" s="24"/>
      <c r="AB21" s="25"/>
      <c r="AC21" s="23"/>
    </row>
    <row r="22" spans="2:29" ht="20.100000000000001" customHeight="1" x14ac:dyDescent="0.25">
      <c r="B22" s="23"/>
      <c r="C22" s="23"/>
      <c r="D22" s="23"/>
      <c r="E22" s="23"/>
      <c r="F22" s="23"/>
      <c r="G22" s="23"/>
      <c r="H22" s="23"/>
      <c r="I22" s="23"/>
      <c r="J22" s="23"/>
      <c r="K22" s="23"/>
      <c r="L22" s="23"/>
      <c r="M22" s="23"/>
      <c r="N22" s="23"/>
      <c r="O22" s="23"/>
      <c r="P22" s="23"/>
      <c r="Q22" s="23"/>
      <c r="R22" s="23"/>
      <c r="S22" s="23"/>
      <c r="T22" s="23"/>
      <c r="U22" s="23"/>
      <c r="V22" s="23"/>
      <c r="W22" s="24"/>
      <c r="X22" s="24"/>
      <c r="Y22" s="24"/>
      <c r="Z22" s="24"/>
      <c r="AA22" s="24"/>
      <c r="AB22" s="25"/>
      <c r="AC22" s="23"/>
    </row>
    <row r="23" spans="2:29" ht="20.100000000000001" customHeight="1" x14ac:dyDescent="0.25">
      <c r="B23" s="23"/>
      <c r="C23" s="23"/>
      <c r="D23" s="23"/>
      <c r="E23" s="23"/>
      <c r="F23" s="23"/>
      <c r="G23" s="23"/>
      <c r="H23" s="23"/>
      <c r="I23" s="23"/>
      <c r="J23" s="23"/>
      <c r="K23" s="23"/>
      <c r="L23" s="23"/>
      <c r="M23" s="23"/>
      <c r="N23" s="23"/>
      <c r="O23" s="23"/>
      <c r="P23" s="23"/>
      <c r="Q23" s="23"/>
      <c r="R23" s="23"/>
      <c r="S23" s="23"/>
      <c r="T23" s="23"/>
      <c r="U23" s="23"/>
      <c r="V23" s="23"/>
      <c r="W23" s="24"/>
      <c r="X23" s="24"/>
      <c r="Y23" s="24"/>
      <c r="Z23" s="24"/>
      <c r="AA23" s="24"/>
      <c r="AB23" s="25"/>
      <c r="AC23" s="23"/>
    </row>
    <row r="24" spans="2:29" ht="20.100000000000001" customHeight="1" x14ac:dyDescent="0.25">
      <c r="B24" s="23"/>
      <c r="C24" s="23"/>
      <c r="D24" s="23"/>
      <c r="E24" s="23"/>
      <c r="F24" s="23"/>
      <c r="G24" s="23"/>
      <c r="H24" s="23"/>
      <c r="I24" s="23"/>
      <c r="J24" s="23"/>
      <c r="K24" s="23"/>
      <c r="L24" s="23"/>
      <c r="M24" s="23"/>
      <c r="N24" s="23"/>
      <c r="O24" s="23"/>
      <c r="P24" s="23"/>
      <c r="Q24" s="23"/>
      <c r="R24" s="23"/>
      <c r="S24" s="23"/>
      <c r="T24" s="23"/>
      <c r="U24" s="23"/>
      <c r="V24" s="23"/>
      <c r="W24" s="24"/>
      <c r="X24" s="24"/>
      <c r="Y24" s="24"/>
      <c r="Z24" s="24"/>
      <c r="AA24" s="24"/>
      <c r="AB24" s="25"/>
      <c r="AC24" s="23"/>
    </row>
    <row r="25" spans="2:29" ht="20.100000000000001" customHeight="1" x14ac:dyDescent="0.35">
      <c r="B25" s="23"/>
      <c r="C25" s="23"/>
      <c r="D25" s="23"/>
      <c r="E25" s="23"/>
      <c r="F25" s="23"/>
      <c r="G25" s="33"/>
      <c r="H25" s="34"/>
      <c r="I25" s="34"/>
      <c r="J25" s="34"/>
      <c r="K25" s="29"/>
      <c r="L25" s="29"/>
      <c r="M25" s="29"/>
      <c r="N25" s="23"/>
      <c r="O25" s="32"/>
      <c r="P25" s="32"/>
      <c r="Q25" s="32"/>
      <c r="R25" s="32"/>
      <c r="S25" s="32"/>
      <c r="T25" s="32"/>
      <c r="U25" s="29"/>
      <c r="V25" s="23"/>
      <c r="W25" s="30"/>
      <c r="X25" s="30"/>
      <c r="Y25" s="30"/>
      <c r="Z25" s="30"/>
      <c r="AA25" s="30"/>
      <c r="AB25" s="31"/>
      <c r="AC25" s="23"/>
    </row>
    <row r="26" spans="2:29" ht="20.100000000000001" customHeight="1" x14ac:dyDescent="0.25">
      <c r="B26" s="23"/>
      <c r="C26" s="23"/>
      <c r="D26" s="23"/>
      <c r="E26" s="23"/>
      <c r="F26" s="23"/>
      <c r="G26" s="23"/>
      <c r="H26" s="23"/>
      <c r="I26" s="23"/>
      <c r="J26" s="23"/>
      <c r="K26" s="23"/>
      <c r="L26" s="23"/>
      <c r="M26" s="23"/>
      <c r="N26" s="23"/>
      <c r="O26" s="23"/>
      <c r="P26" s="23"/>
      <c r="Q26" s="23"/>
      <c r="R26" s="23"/>
      <c r="S26" s="23"/>
      <c r="T26" s="23"/>
      <c r="U26" s="23"/>
      <c r="V26" s="23"/>
      <c r="W26" s="24"/>
      <c r="X26" s="24"/>
      <c r="Y26" s="24"/>
      <c r="Z26" s="24"/>
      <c r="AA26" s="24"/>
      <c r="AB26" s="25"/>
      <c r="AC26" s="23"/>
    </row>
    <row r="27" spans="2:29" ht="20.100000000000001" customHeight="1" x14ac:dyDescent="0.25">
      <c r="B27" s="23"/>
      <c r="C27" s="23"/>
      <c r="D27" s="23"/>
      <c r="E27" s="23"/>
      <c r="F27" s="23"/>
      <c r="G27" s="23"/>
      <c r="H27" s="23"/>
      <c r="I27" s="23"/>
      <c r="J27" s="23"/>
      <c r="K27" s="23"/>
      <c r="L27" s="23"/>
      <c r="M27" s="23"/>
      <c r="N27" s="23"/>
      <c r="O27" s="23"/>
      <c r="P27" s="23"/>
      <c r="Q27" s="23"/>
      <c r="R27" s="23"/>
      <c r="S27" s="23"/>
      <c r="T27" s="23"/>
      <c r="U27" s="23"/>
      <c r="V27" s="23"/>
      <c r="W27" s="24"/>
      <c r="X27" s="24"/>
      <c r="Y27" s="24"/>
      <c r="Z27" s="24"/>
      <c r="AA27" s="24"/>
      <c r="AB27" s="25"/>
      <c r="AC27" s="23"/>
    </row>
    <row r="28" spans="2:29" ht="20.100000000000001" customHeight="1" x14ac:dyDescent="0.25">
      <c r="B28" s="23"/>
      <c r="C28" s="23"/>
      <c r="D28" s="23"/>
      <c r="E28" s="23"/>
      <c r="F28" s="23"/>
      <c r="G28" s="23"/>
      <c r="H28" s="23"/>
      <c r="I28" s="23"/>
      <c r="J28" s="23"/>
      <c r="K28" s="23"/>
      <c r="L28" s="23"/>
      <c r="M28" s="23"/>
      <c r="N28" s="23"/>
      <c r="O28" s="23"/>
      <c r="P28" s="23"/>
      <c r="Q28" s="23"/>
      <c r="R28" s="23"/>
      <c r="S28" s="23"/>
      <c r="T28" s="23"/>
      <c r="U28" s="23"/>
      <c r="V28" s="23"/>
      <c r="W28" s="24"/>
      <c r="X28" s="24"/>
      <c r="Y28" s="24"/>
      <c r="Z28" s="24"/>
      <c r="AA28" s="24"/>
      <c r="AB28" s="25"/>
      <c r="AC28" s="23"/>
    </row>
    <row r="29" spans="2:29" ht="20.100000000000001" customHeight="1" x14ac:dyDescent="0.25">
      <c r="B29" s="23"/>
      <c r="C29" s="23"/>
      <c r="D29" s="23"/>
      <c r="E29" s="23"/>
      <c r="F29" s="23"/>
      <c r="G29" s="23"/>
      <c r="H29" s="23"/>
      <c r="I29" s="23"/>
      <c r="J29" s="23"/>
      <c r="K29" s="23"/>
      <c r="L29" s="23"/>
      <c r="M29" s="23"/>
      <c r="N29" s="23"/>
      <c r="O29" s="23"/>
      <c r="P29" s="23"/>
      <c r="Q29" s="23"/>
      <c r="R29" s="23"/>
      <c r="S29" s="23"/>
      <c r="T29" s="23"/>
      <c r="U29" s="23"/>
      <c r="V29" s="23"/>
      <c r="W29" s="24"/>
      <c r="X29" s="24"/>
      <c r="Y29" s="24"/>
      <c r="Z29" s="24"/>
      <c r="AA29" s="24"/>
      <c r="AB29" s="25"/>
      <c r="AC29" s="23"/>
    </row>
    <row r="30" spans="2:29" ht="20.100000000000001" customHeight="1" x14ac:dyDescent="0.25">
      <c r="B30" s="23"/>
      <c r="C30" s="23"/>
      <c r="D30" s="23"/>
      <c r="E30" s="23"/>
      <c r="F30" s="23"/>
      <c r="G30" s="23"/>
      <c r="H30" s="23"/>
      <c r="I30" s="23"/>
      <c r="J30" s="23"/>
      <c r="K30" s="23"/>
      <c r="L30" s="23"/>
      <c r="M30" s="23"/>
      <c r="N30" s="23"/>
      <c r="O30" s="23"/>
      <c r="P30" s="23"/>
      <c r="Q30" s="23"/>
      <c r="R30" s="23"/>
      <c r="S30" s="23"/>
      <c r="T30" s="23"/>
      <c r="U30" s="23"/>
      <c r="V30" s="23"/>
      <c r="W30" s="24"/>
      <c r="X30" s="24"/>
      <c r="Y30" s="24"/>
      <c r="Z30" s="24"/>
      <c r="AA30" s="24"/>
      <c r="AB30" s="25"/>
      <c r="AC30" s="23"/>
    </row>
    <row r="31" spans="2:29" ht="20.100000000000001" customHeight="1" x14ac:dyDescent="0.25">
      <c r="B31" s="23"/>
      <c r="C31" s="23"/>
      <c r="D31" s="23"/>
      <c r="E31" s="23"/>
      <c r="F31" s="23"/>
      <c r="G31" s="23"/>
      <c r="H31" s="23"/>
      <c r="I31" s="23"/>
      <c r="J31" s="23"/>
      <c r="K31" s="23"/>
      <c r="L31" s="23"/>
      <c r="M31" s="23"/>
      <c r="N31" s="23"/>
      <c r="O31" s="23"/>
      <c r="P31" s="23"/>
      <c r="Q31" s="23"/>
      <c r="R31" s="23"/>
      <c r="S31" s="23"/>
      <c r="T31" s="23"/>
      <c r="U31" s="23"/>
      <c r="V31" s="23"/>
      <c r="W31" s="24"/>
      <c r="X31" s="24"/>
      <c r="Y31" s="24"/>
      <c r="Z31" s="24"/>
      <c r="AA31" s="24"/>
      <c r="AB31" s="25"/>
      <c r="AC31" s="23"/>
    </row>
    <row r="32" spans="2:29" ht="20.100000000000001" customHeight="1" x14ac:dyDescent="0.25">
      <c r="B32" s="23"/>
      <c r="C32" s="23"/>
      <c r="D32" s="23"/>
      <c r="E32" s="23"/>
      <c r="F32" s="23"/>
      <c r="G32" s="23"/>
      <c r="H32" s="23"/>
      <c r="I32" s="23"/>
      <c r="J32" s="23"/>
      <c r="K32" s="23"/>
      <c r="L32" s="23"/>
      <c r="M32" s="23"/>
      <c r="N32" s="23"/>
      <c r="O32" s="23"/>
      <c r="P32" s="23"/>
      <c r="Q32" s="23"/>
      <c r="R32" s="23"/>
      <c r="S32" s="23"/>
      <c r="T32" s="23"/>
      <c r="U32" s="23"/>
      <c r="V32" s="23"/>
      <c r="W32" s="24"/>
      <c r="X32" s="24"/>
      <c r="Y32" s="24"/>
      <c r="Z32" s="24"/>
      <c r="AA32" s="24"/>
      <c r="AB32" s="25"/>
      <c r="AC32" s="23"/>
    </row>
    <row r="33" spans="2:29" ht="20.100000000000001" customHeight="1" x14ac:dyDescent="0.25">
      <c r="B33" s="23"/>
      <c r="C33" s="23"/>
      <c r="D33" s="23"/>
      <c r="E33" s="23"/>
      <c r="F33" s="23"/>
      <c r="G33" s="23"/>
      <c r="H33" s="23"/>
      <c r="I33" s="23"/>
      <c r="J33" s="23"/>
      <c r="K33" s="23"/>
      <c r="L33" s="23"/>
      <c r="M33" s="23"/>
      <c r="N33" s="23"/>
      <c r="O33" s="23"/>
      <c r="P33" s="23"/>
      <c r="Q33" s="23"/>
      <c r="R33" s="23"/>
      <c r="S33" s="23"/>
      <c r="T33" s="23"/>
      <c r="U33" s="23"/>
      <c r="V33" s="23"/>
      <c r="W33" s="24"/>
      <c r="X33" s="24"/>
      <c r="Y33" s="24"/>
      <c r="Z33" s="24"/>
      <c r="AA33" s="24"/>
      <c r="AB33" s="25"/>
      <c r="AC33" s="23"/>
    </row>
    <row r="34" spans="2:29" ht="20.100000000000001" customHeight="1" x14ac:dyDescent="0.25">
      <c r="B34" s="23"/>
      <c r="C34" s="23"/>
      <c r="D34" s="23"/>
      <c r="E34" s="23"/>
      <c r="F34" s="23"/>
      <c r="G34" s="23"/>
      <c r="H34" s="23"/>
      <c r="I34" s="23"/>
      <c r="J34" s="23"/>
      <c r="K34" s="23"/>
      <c r="L34" s="23"/>
      <c r="M34" s="23"/>
      <c r="N34" s="23"/>
      <c r="O34" s="23"/>
      <c r="P34" s="23"/>
      <c r="Q34" s="23"/>
      <c r="R34" s="23"/>
      <c r="S34" s="23"/>
      <c r="T34" s="23"/>
      <c r="U34" s="23"/>
      <c r="V34" s="23"/>
      <c r="W34" s="24"/>
      <c r="X34" s="24"/>
      <c r="Y34" s="24"/>
      <c r="Z34" s="24"/>
      <c r="AA34" s="24"/>
      <c r="AB34" s="25"/>
      <c r="AC34" s="23"/>
    </row>
    <row r="35" spans="2:29" ht="20.100000000000001" customHeight="1" thickBot="1" x14ac:dyDescent="0.3">
      <c r="B35" s="23"/>
      <c r="C35" s="23"/>
      <c r="D35" s="23"/>
      <c r="E35" s="23"/>
      <c r="F35" s="23"/>
      <c r="G35" s="23"/>
      <c r="H35" s="23"/>
      <c r="I35" s="23"/>
      <c r="J35" s="23"/>
      <c r="K35" s="23"/>
      <c r="L35" s="23"/>
      <c r="M35" s="23"/>
      <c r="N35" s="23"/>
      <c r="O35" s="23"/>
      <c r="P35" s="23"/>
      <c r="Q35" s="23"/>
      <c r="R35" s="23"/>
      <c r="S35" s="23"/>
      <c r="T35" s="23"/>
      <c r="U35" s="23"/>
      <c r="V35" s="23"/>
      <c r="W35" s="26"/>
      <c r="X35" s="26"/>
      <c r="Y35" s="26"/>
      <c r="Z35" s="26"/>
      <c r="AA35" s="26"/>
      <c r="AB35" s="27"/>
      <c r="AC35" s="23"/>
    </row>
    <row r="36" spans="2:29" ht="15.75" thickTop="1" x14ac:dyDescent="0.25">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row>
  </sheetData>
  <pageMargins left="0.7" right="0.7" top="0.75" bottom="0.75" header="0.3" footer="0.3"/>
  <pageSetup orientation="portrait" r:id="rId1"/>
  <drawing r:id="rId2"/>
  <legacyDrawing r:id="rId3"/>
  <controls>
    <mc:AlternateContent xmlns:mc="http://schemas.openxmlformats.org/markup-compatibility/2006">
      <mc:Choice Requires="x14">
        <control shapeId="5122" r:id="rId4" name="RefreshAll">
          <controlPr defaultSize="0" autoLine="0" autoPict="0" r:id="rId5">
            <anchor moveWithCells="1">
              <from>
                <xdr:col>8</xdr:col>
                <xdr:colOff>476250</xdr:colOff>
                <xdr:row>4</xdr:row>
                <xdr:rowOff>142875</xdr:rowOff>
              </from>
              <to>
                <xdr:col>10</xdr:col>
                <xdr:colOff>533400</xdr:colOff>
                <xdr:row>6</xdr:row>
                <xdr:rowOff>142875</xdr:rowOff>
              </to>
            </anchor>
          </controlPr>
        </control>
      </mc:Choice>
      <mc:Fallback>
        <control shapeId="5122" r:id="rId4" name="RefreshAll"/>
      </mc:Fallback>
    </mc:AlternateContent>
    <mc:AlternateContent xmlns:mc="http://schemas.openxmlformats.org/markup-compatibility/2006">
      <mc:Choice Requires="x14">
        <control shapeId="5121" r:id="rId6" name="Add_Record">
          <controlPr defaultSize="0" autoLine="0" r:id="rId7">
            <anchor moveWithCells="1">
              <from>
                <xdr:col>6</xdr:col>
                <xdr:colOff>76200</xdr:colOff>
                <xdr:row>4</xdr:row>
                <xdr:rowOff>133350</xdr:rowOff>
              </from>
              <to>
                <xdr:col>8</xdr:col>
                <xdr:colOff>352425</xdr:colOff>
                <xdr:row>6</xdr:row>
                <xdr:rowOff>133350</xdr:rowOff>
              </to>
            </anchor>
          </controlPr>
        </control>
      </mc:Choice>
      <mc:Fallback>
        <control shapeId="5121" r:id="rId6" name="Add_Record"/>
      </mc:Fallback>
    </mc:AlternateContent>
    <mc:AlternateContent xmlns:mc="http://schemas.openxmlformats.org/markup-compatibility/2006">
      <mc:Choice Requires="x14">
        <control shapeId="5123" r:id="rId8" name="Group Box 3">
          <controlPr defaultSize="0" autoFill="0" autoPict="0">
            <anchor moveWithCells="1">
              <from>
                <xdr:col>8</xdr:col>
                <xdr:colOff>209550</xdr:colOff>
                <xdr:row>12</xdr:row>
                <xdr:rowOff>209550</xdr:rowOff>
              </from>
              <to>
                <xdr:col>12</xdr:col>
                <xdr:colOff>447675</xdr:colOff>
                <xdr:row>13</xdr:row>
                <xdr:rowOff>209550</xdr:rowOff>
              </to>
            </anchor>
          </controlPr>
        </control>
      </mc:Choice>
    </mc:AlternateContent>
    <mc:AlternateContent xmlns:mc="http://schemas.openxmlformats.org/markup-compatibility/2006">
      <mc:Choice Requires="x14">
        <control shapeId="5124" r:id="rId9" name="Option Button 4">
          <controlPr defaultSize="0" autoFill="0" autoLine="0" autoPict="0">
            <anchor moveWithCells="1">
              <from>
                <xdr:col>8</xdr:col>
                <xdr:colOff>209550</xdr:colOff>
                <xdr:row>12</xdr:row>
                <xdr:rowOff>190500</xdr:rowOff>
              </from>
              <to>
                <xdr:col>8</xdr:col>
                <xdr:colOff>485775</xdr:colOff>
                <xdr:row>13</xdr:row>
                <xdr:rowOff>219075</xdr:rowOff>
              </to>
            </anchor>
          </controlPr>
        </control>
      </mc:Choice>
    </mc:AlternateContent>
    <mc:AlternateContent xmlns:mc="http://schemas.openxmlformats.org/markup-compatibility/2006">
      <mc:Choice Requires="x14">
        <control shapeId="5125" r:id="rId10" name="Option Button 5">
          <controlPr defaultSize="0" autoFill="0" autoLine="0" autoPict="0">
            <anchor moveWithCells="1">
              <from>
                <xdr:col>10</xdr:col>
                <xdr:colOff>276225</xdr:colOff>
                <xdr:row>12</xdr:row>
                <xdr:rowOff>209550</xdr:rowOff>
              </from>
              <to>
                <xdr:col>10</xdr:col>
                <xdr:colOff>542925</xdr:colOff>
                <xdr:row>13</xdr:row>
                <xdr:rowOff>219075</xdr:rowOff>
              </to>
            </anchor>
          </controlPr>
        </control>
      </mc:Choice>
    </mc:AlternateContent>
    <mc:AlternateContent xmlns:mc="http://schemas.openxmlformats.org/markup-compatibility/2006">
      <mc:Choice Requires="x14">
        <control shapeId="5126" r:id="rId11" name="Scroll Bar 6">
          <controlPr defaultSize="0" autoPict="0">
            <anchor moveWithCells="1">
              <from>
                <xdr:col>22</xdr:col>
                <xdr:colOff>104775</xdr:colOff>
                <xdr:row>16</xdr:row>
                <xdr:rowOff>9525</xdr:rowOff>
              </from>
              <to>
                <xdr:col>23</xdr:col>
                <xdr:colOff>38100</xdr:colOff>
                <xdr:row>22</xdr:row>
                <xdr:rowOff>190500</xdr:rowOff>
              </to>
            </anchor>
          </controlPr>
        </control>
      </mc:Choice>
    </mc:AlternateContent>
    <mc:AlternateContent xmlns:mc="http://schemas.openxmlformats.org/markup-compatibility/2006">
      <mc:Choice Requires="x14">
        <control shapeId="5130" r:id="rId12" name="Group Box 10">
          <controlPr defaultSize="0" autoFill="0" autoPict="0">
            <anchor moveWithCells="1">
              <from>
                <xdr:col>22</xdr:col>
                <xdr:colOff>28575</xdr:colOff>
                <xdr:row>25</xdr:row>
                <xdr:rowOff>28575</xdr:rowOff>
              </from>
              <to>
                <xdr:col>27</xdr:col>
                <xdr:colOff>638175</xdr:colOff>
                <xdr:row>26</xdr:row>
                <xdr:rowOff>85725</xdr:rowOff>
              </to>
            </anchor>
          </controlPr>
        </control>
      </mc:Choice>
    </mc:AlternateContent>
    <mc:AlternateContent xmlns:mc="http://schemas.openxmlformats.org/markup-compatibility/2006">
      <mc:Choice Requires="x14">
        <control shapeId="5131" r:id="rId13" name="Option Button 11">
          <controlPr defaultSize="0" autoFill="0" autoLine="0" autoPict="0">
            <anchor moveWithCells="1">
              <from>
                <xdr:col>22</xdr:col>
                <xdr:colOff>85725</xdr:colOff>
                <xdr:row>25</xdr:row>
                <xdr:rowOff>66675</xdr:rowOff>
              </from>
              <to>
                <xdr:col>22</xdr:col>
                <xdr:colOff>295275</xdr:colOff>
                <xdr:row>26</xdr:row>
                <xdr:rowOff>38100</xdr:rowOff>
              </to>
            </anchor>
          </controlPr>
        </control>
      </mc:Choice>
    </mc:AlternateContent>
    <mc:AlternateContent xmlns:mc="http://schemas.openxmlformats.org/markup-compatibility/2006">
      <mc:Choice Requires="x14">
        <control shapeId="5133" r:id="rId14" name="Option Button 13">
          <controlPr defaultSize="0" autoFill="0" autoLine="0" autoPict="0">
            <anchor moveWithCells="1">
              <from>
                <xdr:col>24</xdr:col>
                <xdr:colOff>523875</xdr:colOff>
                <xdr:row>25</xdr:row>
                <xdr:rowOff>66675</xdr:rowOff>
              </from>
              <to>
                <xdr:col>25</xdr:col>
                <xdr:colOff>47625</xdr:colOff>
                <xdr:row>26</xdr:row>
                <xdr:rowOff>38100</xdr:rowOff>
              </to>
            </anchor>
          </controlPr>
        </control>
      </mc:Choice>
    </mc:AlternateContent>
  </controls>
  <extLst>
    <ext xmlns:x14="http://schemas.microsoft.com/office/spreadsheetml/2009/9/main" uri="{A8765BA9-456A-4dab-B4F3-ACF838C121DE}">
      <x14:slicerList>
        <x14:slicer r:id="rId1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D4350BA5-9C31-4A3E-84D6-C1E789B57EA3}">
  <ds:schemaRefs/>
</ds:datastoreItem>
</file>

<file path=customXml/itemProps2.xml><?xml version="1.0" encoding="utf-8"?>
<ds:datastoreItem xmlns:ds="http://schemas.openxmlformats.org/officeDocument/2006/customXml" ds:itemID="{05C56A90-71CF-47B4-B5E7-E734D6DEB1C7}">
  <ds:schemaRefs/>
</ds:datastoreItem>
</file>

<file path=customXml/itemProps3.xml><?xml version="1.0" encoding="utf-8"?>
<ds:datastoreItem xmlns:ds="http://schemas.openxmlformats.org/officeDocument/2006/customXml" ds:itemID="{66ED3E57-1586-40C7-9136-10722D640452}">
  <ds:schemaRefs/>
</ds:datastoreItem>
</file>

<file path=customXml/itemProps4.xml><?xml version="1.0" encoding="utf-8"?>
<ds:datastoreItem xmlns:ds="http://schemas.openxmlformats.org/officeDocument/2006/customXml" ds:itemID="{2D8DEA86-D9A4-46D8-AF93-06D3AB60AAD7}">
  <ds:schemaRefs/>
</ds:datastoreItem>
</file>

<file path=customXml/itemProps5.xml><?xml version="1.0" encoding="utf-8"?>
<ds:datastoreItem xmlns:ds="http://schemas.openxmlformats.org/officeDocument/2006/customXml" ds:itemID="{2D91AF3C-7FC4-4E06-92FE-026F3911B22F}">
  <ds:schemaRefs/>
</ds:datastoreItem>
</file>

<file path=customXml/itemProps6.xml><?xml version="1.0" encoding="utf-8"?>
<ds:datastoreItem xmlns:ds="http://schemas.openxmlformats.org/officeDocument/2006/customXml" ds:itemID="{E80C8571-14BE-4371-8751-FA08BD553D57}">
  <ds:schemaRefs/>
</ds:datastoreItem>
</file>

<file path=customXml/itemProps7.xml><?xml version="1.0" encoding="utf-8"?>
<ds:datastoreItem xmlns:ds="http://schemas.openxmlformats.org/officeDocument/2006/customXml" ds:itemID="{95EAC95C-4EE4-4B75-8547-B4C1F705D434}">
  <ds:schemaRefs/>
</ds:datastoreItem>
</file>

<file path=customXml/itemProps8.xml><?xml version="1.0" encoding="utf-8"?>
<ds:datastoreItem xmlns:ds="http://schemas.openxmlformats.org/officeDocument/2006/customXml" ds:itemID="{1EF2558E-FE12-4DDE-8C06-07E1E9CCACE1}">
  <ds:schemaRefs/>
</ds:datastoreItem>
</file>

<file path=customXml/itemProps9.xml><?xml version="1.0" encoding="utf-8"?>
<ds:datastoreItem xmlns:ds="http://schemas.openxmlformats.org/officeDocument/2006/customXml" ds:itemID="{68ADA9AF-E4FE-490E-92F6-06E51917102C}">
  <ds:schemaRefs/>
</ds:datastoreItem>
</file>

<file path=customXml/itemProps10.xml><?xml version="1.0" encoding="utf-8"?>
<ds:datastoreItem xmlns:ds="http://schemas.openxmlformats.org/officeDocument/2006/customXml" ds:itemID="{C533C17E-C86F-4C45-BE0D-9FC7D5E5D64E}">
  <ds:schemaRefs/>
</ds:datastoreItem>
</file>

<file path=customXml/itemProps11.xml><?xml version="1.0" encoding="utf-8"?>
<ds:datastoreItem xmlns:ds="http://schemas.openxmlformats.org/officeDocument/2006/customXml" ds:itemID="{66D1A47B-CF7A-4849-BDEC-1B848A26BFE9}">
  <ds:schemaRefs/>
</ds:datastoreItem>
</file>

<file path=customXml/itemProps12.xml><?xml version="1.0" encoding="utf-8"?>
<ds:datastoreItem xmlns:ds="http://schemas.openxmlformats.org/officeDocument/2006/customXml" ds:itemID="{EEB6B636-B6E8-4A97-B526-4FE1E72FFDD2}">
  <ds:schemaRefs/>
</ds:datastoreItem>
</file>

<file path=customXml/itemProps13.xml><?xml version="1.0" encoding="utf-8"?>
<ds:datastoreItem xmlns:ds="http://schemas.openxmlformats.org/officeDocument/2006/customXml" ds:itemID="{1CAA5082-D869-4529-A9E9-3D4E48EE2398}">
  <ds:schemaRefs/>
</ds:datastoreItem>
</file>

<file path=customXml/itemProps14.xml><?xml version="1.0" encoding="utf-8"?>
<ds:datastoreItem xmlns:ds="http://schemas.openxmlformats.org/officeDocument/2006/customXml" ds:itemID="{1EB7980E-B86F-42D0-95C7-9BE0A34ED06E}">
  <ds:schemaRefs/>
</ds:datastoreItem>
</file>

<file path=customXml/itemProps15.xml><?xml version="1.0" encoding="utf-8"?>
<ds:datastoreItem xmlns:ds="http://schemas.openxmlformats.org/officeDocument/2006/customXml" ds:itemID="{E1B3F375-6D1C-4FF3-8C3F-1A71283575AC}">
  <ds:schemaRefs/>
</ds:datastoreItem>
</file>

<file path=customXml/itemProps16.xml><?xml version="1.0" encoding="utf-8"?>
<ds:datastoreItem xmlns:ds="http://schemas.openxmlformats.org/officeDocument/2006/customXml" ds:itemID="{6AD4983A-C89F-44A5-ADBF-0F6A0D1FBEFA}">
  <ds:schemaRefs/>
</ds:datastoreItem>
</file>

<file path=customXml/itemProps17.xml><?xml version="1.0" encoding="utf-8"?>
<ds:datastoreItem xmlns:ds="http://schemas.openxmlformats.org/officeDocument/2006/customXml" ds:itemID="{D433322B-204D-4AD8-87CA-5A50D36FBBB2}">
  <ds:schemaRefs/>
</ds:datastoreItem>
</file>

<file path=customXml/itemProps18.xml><?xml version="1.0" encoding="utf-8"?>
<ds:datastoreItem xmlns:ds="http://schemas.openxmlformats.org/officeDocument/2006/customXml" ds:itemID="{08888907-7E7B-4CE2-A5BD-2751BF0B7E07}">
  <ds:schemaRefs/>
</ds:datastoreItem>
</file>

<file path=customXml/itemProps19.xml><?xml version="1.0" encoding="utf-8"?>
<ds:datastoreItem xmlns:ds="http://schemas.openxmlformats.org/officeDocument/2006/customXml" ds:itemID="{57280624-E55A-4C39-B890-364C6F4106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Icons</vt:lpstr>
      <vt:lpstr>Pivots</vt:lpstr>
      <vt:lpstr>Master Data</vt:lpstr>
      <vt:lpstr>Trainer Records</vt:lpstr>
      <vt:lpstr>Trainee Records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Abhigyan Rajendra</dc:creator>
  <cp:lastModifiedBy>abhigyan manu</cp:lastModifiedBy>
  <dcterms:created xsi:type="dcterms:W3CDTF">2023-10-02T12:20:22Z</dcterms:created>
  <dcterms:modified xsi:type="dcterms:W3CDTF">2026-07-18T12:24:20Z</dcterms:modified>
</cp:coreProperties>
</file>